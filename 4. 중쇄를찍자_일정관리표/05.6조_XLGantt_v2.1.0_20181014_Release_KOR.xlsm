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ehc\Documents\2-2\웹 시스템 설계\강의샘플\"/>
    </mc:Choice>
  </mc:AlternateContent>
  <xr:revisionPtr revIDLastSave="0" documentId="13_ncr:1_{033E5109-0653-4594-BD52-0E9045AEB0E8}" xr6:coauthVersionLast="36" xr6:coauthVersionMax="36" xr10:uidLastSave="{00000000-0000-0000-0000-000000000000}"/>
  <bookViews>
    <workbookView xWindow="1920" yWindow="0" windowWidth="26076" windowHeight="113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Schedule!$M$3:$AB$138</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L5" i="2" l="1"/>
  <c r="AY5" i="2"/>
  <c r="AF6" i="2"/>
  <c r="AE7" i="2"/>
  <c r="AF8" i="2"/>
  <c r="AF9" i="2"/>
  <c r="AF10" i="2"/>
  <c r="AF11" i="2"/>
  <c r="AK12" i="2"/>
  <c r="AI13" i="2"/>
  <c r="AH14" i="2"/>
  <c r="AH15" i="2"/>
  <c r="AI16" i="2"/>
  <c r="AI17" i="2"/>
  <c r="AJ18" i="2"/>
  <c r="AK19" i="2"/>
  <c r="AK20" i="2"/>
  <c r="AK21" i="2"/>
  <c r="AY21" i="2"/>
  <c r="AK22" i="2"/>
  <c r="AK23" i="2"/>
  <c r="AK24" i="2"/>
  <c r="AK25" i="2"/>
  <c r="AK26" i="2"/>
  <c r="AK27" i="2"/>
  <c r="AK28" i="2"/>
  <c r="AK29" i="2"/>
  <c r="AK30" i="2"/>
  <c r="AK31" i="2"/>
  <c r="AK32" i="2"/>
  <c r="AK33" i="2"/>
  <c r="AM34" i="2"/>
  <c r="AS34" i="2"/>
  <c r="AR35" i="2"/>
  <c r="AR36" i="2"/>
  <c r="AM37" i="2"/>
  <c r="AM38" i="2"/>
  <c r="AM39" i="2"/>
  <c r="AN40" i="2"/>
  <c r="AM41" i="2"/>
  <c r="AM42" i="2"/>
  <c r="AM43" i="2"/>
  <c r="AM44" i="2"/>
  <c r="AN45" i="2"/>
  <c r="AN46" i="2"/>
  <c r="AN47" i="2"/>
  <c r="AN48" i="2"/>
  <c r="AN49" i="2"/>
  <c r="AN50" i="2"/>
  <c r="AN51" i="2"/>
  <c r="AO52" i="2"/>
  <c r="AO53" i="2"/>
  <c r="AO54" i="2"/>
  <c r="AO55" i="2"/>
  <c r="AO56" i="2"/>
  <c r="AP57" i="2"/>
  <c r="AO58" i="2"/>
  <c r="AO59" i="2"/>
  <c r="AO60" i="2"/>
  <c r="AO61" i="2"/>
  <c r="AP62" i="2"/>
  <c r="AP63" i="2"/>
  <c r="AQ64" i="2"/>
  <c r="AQ65" i="2"/>
  <c r="AQ66" i="2"/>
  <c r="AR67" i="2"/>
  <c r="AP68" i="2"/>
  <c r="AP69" i="2"/>
  <c r="AP70" i="2"/>
  <c r="AQ71" i="2"/>
  <c r="AO72" i="2"/>
  <c r="AO73" i="2"/>
  <c r="AP74" i="2"/>
  <c r="AP75" i="2"/>
  <c r="AP76" i="2"/>
  <c r="AP77" i="2"/>
  <c r="AQ78" i="2"/>
  <c r="AQ79" i="2"/>
  <c r="AQ80" i="2"/>
  <c r="AU81" i="2"/>
  <c r="AY81" i="2"/>
  <c r="AJ83" i="2"/>
  <c r="AY83" i="2"/>
  <c r="AE84" i="2"/>
  <c r="AE85" i="2"/>
  <c r="AE86" i="2"/>
  <c r="AE87" i="2"/>
  <c r="AR88" i="2"/>
  <c r="AR89" i="2"/>
  <c r="AR90" i="2"/>
  <c r="AS91" i="2"/>
  <c r="AT92" i="2"/>
  <c r="AW93" i="2"/>
  <c r="AW94" i="2"/>
  <c r="AW95" i="2"/>
  <c r="AX96" i="2"/>
  <c r="AY97" i="2"/>
  <c r="D30" i="4" l="1"/>
  <c r="E7" i="4"/>
  <c r="F7" i="4" s="1"/>
  <c r="H77" i="8"/>
  <c r="C98" i="2"/>
  <c r="C99" i="2"/>
  <c r="C100" i="2"/>
  <c r="C101" i="2"/>
  <c r="C102" i="2"/>
  <c r="C103" i="2"/>
  <c r="C104" i="2"/>
  <c r="D1" i="2"/>
  <c r="AB1" i="2"/>
  <c r="AB2" i="2"/>
  <c r="E8" i="4" l="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F8" i="4"/>
  <c r="B24" i="3"/>
  <c r="E10" i="4" l="1"/>
  <c r="F9" i="4"/>
  <c r="E11" i="4" l="1"/>
  <c r="F10" i="4"/>
  <c r="F11" i="4" l="1"/>
  <c r="E12" i="4"/>
  <c r="E13" i="4" l="1"/>
  <c r="F12" i="4"/>
  <c r="E14" i="4" l="1"/>
  <c r="F13" i="4"/>
  <c r="E15" i="4" l="1"/>
  <c r="F14" i="4"/>
  <c r="F15" i="4" l="1"/>
  <c r="E16" i="4"/>
  <c r="E17" i="4" l="1"/>
  <c r="F16" i="4"/>
  <c r="E18" i="4" l="1"/>
  <c r="F17" i="4"/>
  <c r="E19" i="4" l="1"/>
  <c r="F18" i="4"/>
  <c r="F19" i="4" l="1"/>
  <c r="E20" i="4"/>
  <c r="E21" i="4" l="1"/>
  <c r="F20" i="4"/>
  <c r="E22" i="4" l="1"/>
  <c r="F21" i="4"/>
  <c r="E23" i="4" l="1"/>
  <c r="F22" i="4"/>
  <c r="F23" i="4" l="1"/>
  <c r="E24" i="4"/>
  <c r="E25" i="4" l="1"/>
  <c r="F24" i="4"/>
  <c r="E26" i="4" l="1"/>
  <c r="F25" i="4"/>
  <c r="E27" i="4" l="1"/>
  <c r="F26" i="4"/>
  <c r="F27" i="4" l="1"/>
  <c r="E28" i="4"/>
  <c r="E29" i="4" l="1"/>
  <c r="F29" i="4" s="1"/>
  <c r="F28" i="4"/>
</calcChain>
</file>

<file path=xl/sharedStrings.xml><?xml version="1.0" encoding="utf-8"?>
<sst xmlns="http://schemas.openxmlformats.org/spreadsheetml/2006/main" count="1607" uniqueCount="1245">
  <si>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</si>
  <si>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</si>
  <si>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</si>
  <si>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</si>
  <si>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</si>
  <si>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</si>
  <si>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</si>
  <si>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</si>
  <si>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</si>
  <si>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</si>
  <si>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</si>
  <si>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</si>
  <si>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</si>
  <si>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</si>
  <si>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</si>
  <si>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</si>
  <si>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</si>
  <si>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</si>
  <si>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</si>
  <si>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</si>
  <si>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</si>
  <si>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</si>
  <si>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</si>
  <si>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</si>
  <si>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</si>
  <si>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</si>
  <si>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</si>
  <si>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</si>
  <si>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</si>
  <si>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</si>
  <si>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</si>
  <si>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</si>
  <si>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</si>
  <si>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</si>
  <si>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</si>
  <si>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</si>
  <si>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</si>
  <si>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</si>
  <si>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</si>
  <si>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</si>
  <si>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</si>
  <si>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</si>
  <si>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</si>
  <si>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</si>
  <si>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</si>
  <si>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</si>
  <si>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</si>
  <si>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</si>
  <si>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</si>
  <si>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</si>
  <si>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</si>
  <si>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</si>
  <si>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</si>
  <si>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</si>
  <si>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</si>
  <si>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</si>
  <si>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</si>
  <si>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</si>
  <si>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</si>
  <si>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</si>
  <si>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</si>
  <si>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</si>
  <si>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</si>
  <si>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</si>
  <si>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</si>
  <si>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</si>
  <si>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</si>
  <si>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</si>
  <si>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</si>
  <si>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</si>
  <si>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</si>
  <si>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</si>
  <si>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</si>
  <si>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</si>
  <si>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</si>
  <si>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</si>
  <si>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</si>
  <si>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</si>
  <si>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</si>
  <si>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</si>
  <si>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</si>
  <si>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</si>
  <si>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</si>
  <si>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</si>
  <si>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</si>
  <si>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</si>
  <si>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</si>
  <si>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</si>
  <si>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</si>
  <si>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</si>
  <si>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</si>
  <si>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</si>
  <si>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</si>
  <si>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</si>
  <si>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</si>
  <si>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</si>
  <si>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</si>
  <si>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</si>
  <si>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</si>
  <si>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</si>
  <si>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</si>
  <si>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</si>
  <si>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</si>
  <si>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</si>
  <si>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</si>
  <si>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</si>
  <si>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</si>
  <si>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</si>
  <si>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</si>
  <si>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</si>
  <si>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</si>
  <si>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</si>
  <si>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</si>
  <si>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</si>
  <si>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</si>
  <si>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</si>
  <si>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</si>
  <si>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</si>
  <si>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</si>
  <si>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</si>
  <si>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</si>
  <si>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</si>
  <si>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</si>
  <si>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</si>
  <si>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</si>
  <si>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</si>
  <si>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</si>
  <si>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</si>
  <si>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</si>
  <si>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</si>
  <si>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</si>
  <si>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</si>
  <si>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</si>
  <si>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</si>
  <si>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</si>
  <si>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</si>
  <si>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</si>
  <si>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</si>
  <si>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</si>
  <si>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</si>
  <si>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</si>
  <si>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</si>
  <si>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</si>
  <si>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</si>
  <si>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</si>
  <si>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</si>
  <si>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</si>
  <si>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</si>
  <si>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</si>
  <si>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</si>
  <si>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</si>
  <si>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</si>
  <si>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</si>
  <si>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</si>
  <si>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</si>
  <si>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</si>
  <si>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</si>
  <si>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</si>
  <si>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</si>
  <si>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</si>
  <si>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</si>
  <si>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</si>
  <si>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</si>
  <si>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</si>
  <si>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</si>
  <si>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</si>
  <si>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</si>
  <si>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</si>
  <si>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</si>
  <si>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</si>
  <si>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</si>
  <si>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</si>
  <si>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</si>
  <si>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</si>
  <si>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</si>
  <si>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</si>
  <si>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</si>
  <si>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</si>
  <si>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</si>
  <si>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</si>
  <si>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</si>
  <si>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</si>
  <si>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</si>
  <si>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</si>
  <si>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</si>
  <si>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</si>
  <si>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</si>
  <si>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</si>
  <si>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</si>
  <si>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</si>
  <si>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</si>
  <si>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</si>
  <si>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</si>
  <si>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</si>
  <si>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</si>
  <si>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</si>
  <si>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</si>
  <si>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</si>
  <si>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</si>
  <si>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</si>
  <si>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</si>
  <si>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</si>
  <si>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</si>
  <si>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</si>
  <si>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</si>
  <si>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</si>
  <si>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</si>
  <si>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</si>
  <si>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</si>
  <si>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</si>
  <si>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</si>
  <si>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</si>
  <si>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</si>
  <si>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</si>
  <si>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</si>
  <si>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</si>
  <si>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</si>
  <si>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</si>
  <si>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</si>
  <si>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</si>
  <si>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</si>
  <si>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</si>
  <si>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</si>
  <si>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</si>
  <si>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</si>
  <si>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</si>
  <si>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</si>
  <si>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</si>
  <si>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</si>
  <si>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</si>
  <si>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</si>
  <si>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</si>
  <si>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</si>
  <si>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</si>
  <si>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</si>
  <si>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</si>
  <si>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</si>
  <si>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</si>
  <si>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</si>
  <si>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</si>
  <si>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</si>
  <si>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</si>
  <si>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</si>
  <si>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</si>
  <si>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</si>
  <si>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</si>
  <si>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</si>
  <si>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</si>
  <si>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</si>
  <si>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</si>
  <si>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</si>
  <si>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</si>
  <si>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</si>
  <si>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</si>
  <si>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</si>
  <si>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</si>
  <si>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</si>
  <si>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</si>
  <si>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</si>
  <si>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</si>
  <si>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</si>
  <si>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</si>
  <si>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</si>
  <si>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</si>
  <si>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</si>
  <si>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</si>
  <si>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</si>
  <si>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</si>
  <si>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</si>
  <si>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</si>
  <si>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</si>
  <si>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</si>
  <si>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</si>
  <si>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</si>
  <si>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</si>
  <si>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</si>
  <si>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</si>
  <si>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</si>
  <si>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</si>
  <si>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</si>
  <si>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</si>
  <si>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</si>
  <si>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</si>
  <si>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</si>
  <si>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</si>
  <si>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</si>
  <si>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</si>
  <si>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</si>
  <si>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</si>
  <si>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</si>
  <si>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</si>
  <si>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</si>
  <si>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</si>
  <si>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</si>
  <si>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</si>
  <si>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</si>
  <si>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</si>
  <si>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</si>
  <si>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</si>
  <si>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</si>
  <si>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</si>
  <si>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</si>
  <si>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</si>
  <si>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</si>
  <si>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</si>
  <si>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</si>
  <si>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</si>
  <si>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</si>
  <si>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</si>
  <si>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</si>
  <si>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</si>
  <si>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</si>
  <si>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</si>
  <si>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</si>
  <si>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</si>
  <si>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</si>
  <si>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</si>
  <si>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</si>
  <si>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</si>
  <si>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</si>
  <si>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</si>
  <si>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</si>
  <si>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</si>
  <si>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</si>
  <si>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</si>
  <si>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</si>
  <si>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</si>
  <si>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</si>
  <si>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</si>
  <si>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</si>
  <si>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</si>
  <si>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</si>
  <si>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</si>
  <si>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</si>
  <si>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</si>
  <si>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</si>
  <si>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</si>
  <si>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</si>
  <si>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</si>
  <si>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</si>
  <si>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</si>
  <si>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</si>
  <si>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</si>
  <si>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</si>
  <si>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</si>
  <si>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</si>
  <si>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</si>
  <si>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</si>
  <si>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</si>
  <si>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</si>
  <si>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</si>
  <si>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</si>
  <si>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</si>
  <si>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</si>
  <si>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</si>
  <si>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</si>
  <si>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</si>
  <si>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</si>
  <si>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</si>
  <si>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</si>
  <si>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</si>
  <si>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</si>
  <si>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</si>
  <si>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</si>
  <si>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</si>
  <si>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</si>
  <si>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</si>
  <si>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</si>
  <si>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</si>
  <si>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</si>
  <si>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</si>
  <si>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</si>
  <si>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</si>
  <si>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</si>
  <si>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</si>
  <si>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</si>
  <si>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</si>
  <si>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</si>
  <si>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</si>
  <si>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</si>
  <si>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</si>
  <si>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</si>
  <si>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</si>
  <si>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</si>
  <si>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</si>
  <si>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</si>
  <si>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</si>
  <si>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</si>
  <si>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</si>
  <si>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</si>
  <si>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</si>
  <si>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</si>
  <si>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</si>
  <si>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</si>
  <si>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</si>
  <si>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</si>
  <si>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</si>
  <si>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</si>
  <si>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</si>
  <si>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</si>
  <si>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</si>
  <si>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</si>
  <si>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</si>
  <si>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</si>
  <si>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</si>
  <si>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</si>
  <si>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</si>
  <si>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</si>
  <si>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</si>
  <si>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</si>
  <si>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</si>
  <si>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</si>
  <si>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</si>
  <si>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</si>
  <si>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</si>
  <si>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</si>
  <si>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</si>
  <si>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</si>
  <si>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</si>
  <si>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</si>
  <si>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</si>
  <si>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</si>
  <si>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</si>
  <si>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</si>
  <si>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</si>
  <si>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</si>
  <si>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</si>
  <si>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</si>
  <si>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</si>
  <si>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1.2.1</t>
  </si>
  <si>
    <t>1.2.2</t>
  </si>
  <si>
    <t>1.2.3</t>
  </si>
  <si>
    <t>1.2.4</t>
  </si>
  <si>
    <t>1.3.1</t>
  </si>
  <si>
    <t>1.3.2</t>
  </si>
  <si>
    <t>1.3.3</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</si>
  <si>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</si>
  <si>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</si>
  <si>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</si>
  <si>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</si>
  <si>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</si>
  <si>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</si>
  <si>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</si>
  <si>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</si>
  <si>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</si>
  <si>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</si>
  <si>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</si>
  <si>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</si>
  <si>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</si>
  <si>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</si>
  <si>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</si>
  <si>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</si>
  <si>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</si>
  <si>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</si>
  <si>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</si>
  <si>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</si>
  <si>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</si>
  <si>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</si>
  <si>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</si>
  <si>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</si>
  <si>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</si>
  <si>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</si>
  <si>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</si>
  <si>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</si>
  <si>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</si>
  <si>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</si>
  <si>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</si>
  <si>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</si>
  <si>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</si>
  <si>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</si>
  <si>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</si>
  <si>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</si>
  <si>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</si>
  <si>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</si>
  <si>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</si>
  <si>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</si>
  <si>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</si>
  <si>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</si>
  <si>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</si>
  <si>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</si>
  <si>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</si>
  <si>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</si>
  <si>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</si>
  <si>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</si>
  <si>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</si>
  <si>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</si>
  <si>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</si>
  <si>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</si>
  <si>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</si>
  <si>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</si>
  <si>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</si>
  <si>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</si>
  <si>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</si>
  <si>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</si>
  <si>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</si>
  <si>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</si>
  <si>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</si>
  <si>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</si>
  <si>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</si>
  <si>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</si>
  <si>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</si>
  <si>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</si>
  <si>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</si>
  <si>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</si>
  <si>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</si>
  <si>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</si>
  <si>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</si>
  <si>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</si>
  <si>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</si>
  <si>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</si>
  <si>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</si>
  <si>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</si>
  <si>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</si>
  <si>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</si>
  <si>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</si>
  <si>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</si>
  <si>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</si>
  <si>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</si>
  <si>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</si>
  <si>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</si>
  <si>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</si>
  <si>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</si>
  <si>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</si>
  <si>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</si>
  <si>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</si>
  <si>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</si>
  <si>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</si>
  <si>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</si>
  <si>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</si>
  <si>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</si>
  <si>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</si>
  <si>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</si>
  <si>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</si>
  <si>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</si>
  <si>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</si>
  <si>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</si>
  <si>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</si>
  <si>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</si>
  <si>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</si>
  <si>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</si>
  <si>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</si>
  <si>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</si>
  <si>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</si>
  <si>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</si>
  <si>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</si>
  <si>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</si>
  <si>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</si>
  <si>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</si>
  <si>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</si>
  <si>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</si>
  <si>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</si>
  <si>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</si>
  <si>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</si>
  <si>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</si>
  <si>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</si>
  <si>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</si>
  <si>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</si>
  <si>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</si>
  <si>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</si>
  <si>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</si>
  <si>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</si>
  <si>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</si>
  <si>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</si>
  <si>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</si>
  <si>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</si>
  <si>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</si>
  <si>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</si>
  <si>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</si>
  <si>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</si>
  <si>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</si>
  <si>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</si>
  <si>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</si>
  <si>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</si>
  <si>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</si>
  <si>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</si>
  <si>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</si>
  <si>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</si>
  <si>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</si>
  <si>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</si>
  <si>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</si>
  <si>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</si>
  <si>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</si>
  <si>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</si>
  <si>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</si>
  <si>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</si>
  <si>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</si>
  <si>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</si>
  <si>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</si>
  <si>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</si>
  <si>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</si>
  <si>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</si>
  <si>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</si>
  <si>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</si>
  <si>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</si>
  <si>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</si>
  <si>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</si>
  <si>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</si>
  <si>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</si>
  <si>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</si>
  <si>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</si>
  <si>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</si>
  <si>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</si>
  <si>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</si>
  <si>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</si>
  <si>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</si>
  <si>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</si>
  <si>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</si>
  <si>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</si>
  <si>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</si>
  <si>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</si>
  <si>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</si>
  <si>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</si>
  <si>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</si>
  <si>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</si>
  <si>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</si>
  <si>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</si>
  <si>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</si>
  <si>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</si>
  <si>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</si>
  <si>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</si>
  <si>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</si>
  <si>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</si>
  <si>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</si>
  <si>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</si>
  <si>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</si>
  <si>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</si>
  <si>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</si>
  <si>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</si>
  <si>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</si>
  <si>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</si>
  <si>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</si>
  <si>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</si>
  <si>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</si>
  <si>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</si>
  <si>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</si>
  <si>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</si>
  <si>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</si>
  <si>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</si>
  <si>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</si>
  <si>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</si>
  <si>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</si>
  <si>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</si>
  <si>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</si>
  <si>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</si>
  <si>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</si>
  <si>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</si>
  <si>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</si>
  <si>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</si>
  <si>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</si>
  <si>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</si>
  <si>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</si>
  <si>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</si>
  <si>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</si>
  <si>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</si>
  <si>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</si>
  <si>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</si>
  <si>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</si>
  <si>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</si>
  <si>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</si>
  <si>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</si>
  <si>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</si>
  <si>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</si>
  <si>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</si>
  <si>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</si>
  <si>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</si>
  <si>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</si>
  <si>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</si>
  <si>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</si>
  <si>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</si>
  <si>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</si>
  <si>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</si>
  <si>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</si>
  <si>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</si>
  <si>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</si>
  <si>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</si>
  <si>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</si>
  <si>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</si>
  <si>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</si>
  <si>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</si>
  <si>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</si>
  <si>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</si>
  <si>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</si>
  <si>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</si>
  <si>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</si>
  <si>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</si>
  <si>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</si>
  <si>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</si>
  <si>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</si>
  <si>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</si>
  <si>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</si>
  <si>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</si>
  <si>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</si>
  <si>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</si>
  <si>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</si>
  <si>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</si>
  <si>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</si>
  <si>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</si>
  <si>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</si>
  <si>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</si>
  <si>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</si>
  <si>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</si>
  <si>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</si>
  <si>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</si>
  <si>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</si>
  <si>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</si>
  <si>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</si>
  <si>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</si>
  <si>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</si>
  <si>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</si>
  <si>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</si>
  <si>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</si>
  <si>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</si>
  <si>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</si>
  <si>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</si>
  <si>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</si>
  <si>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</si>
  <si>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</si>
  <si>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</si>
  <si>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</si>
  <si>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</si>
  <si>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</si>
  <si>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</si>
  <si>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</si>
  <si>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</si>
  <si>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</si>
  <si>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</si>
  <si>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</si>
  <si>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</si>
  <si>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</si>
  <si>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</si>
  <si>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</si>
  <si>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</si>
  <si>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</si>
  <si>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</si>
  <si>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</si>
  <si>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</si>
  <si>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</si>
  <si>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</si>
  <si>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</si>
  <si>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</si>
  <si>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</si>
  <si>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</si>
  <si>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</si>
  <si>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</si>
  <si>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</si>
  <si>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</si>
  <si>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</si>
  <si>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</si>
  <si>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</si>
  <si>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</si>
  <si>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</si>
  <si>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</si>
  <si>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</si>
  <si>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</si>
  <si>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</si>
  <si>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</si>
  <si>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</si>
  <si>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</si>
  <si>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</si>
  <si>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</si>
  <si>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</si>
  <si>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</si>
  <si>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</si>
  <si>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</si>
  <si>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</si>
  <si>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</si>
  <si>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</si>
  <si>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</si>
  <si>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</si>
  <si>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</si>
  <si>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</si>
  <si>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</si>
  <si>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</si>
  <si>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</si>
  <si>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</si>
  <si>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</si>
  <si>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</si>
  <si>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</si>
  <si>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</si>
  <si>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</si>
  <si>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</si>
  <si>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</si>
  <si>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</si>
  <si>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</si>
  <si>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</si>
  <si>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</si>
  <si>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</si>
  <si>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</si>
  <si>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</si>
  <si>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</si>
  <si>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</si>
  <si>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</si>
  <si>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</si>
  <si>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</si>
  <si>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</si>
  <si>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</si>
  <si>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</si>
  <si>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</si>
  <si>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</si>
  <si>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</si>
  <si>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</si>
  <si>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</si>
  <si>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</si>
  <si>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</si>
  <si>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</si>
  <si>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</si>
  <si>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</si>
  <si>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</si>
  <si>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</si>
  <si>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</si>
  <si>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</si>
  <si>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</si>
  <si>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</si>
  <si>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</si>
  <si>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</si>
  <si>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</si>
  <si>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</si>
  <si>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</si>
  <si>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</si>
  <si>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</si>
  <si>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</si>
  <si>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</si>
  <si>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</si>
  <si>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</si>
  <si>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</si>
  <si>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</si>
  <si>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</si>
  <si>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</si>
  <si>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</si>
  <si>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</si>
  <si>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</si>
  <si>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</si>
  <si>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</si>
  <si>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</si>
  <si>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</si>
  <si>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</si>
  <si>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</si>
  <si>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</si>
  <si>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</si>
  <si>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</si>
  <si>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</si>
  <si>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</si>
  <si>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</si>
  <si>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</si>
  <si>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</si>
  <si>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</si>
  <si>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</si>
  <si>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</si>
  <si>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</si>
  <si>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</si>
  <si>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</si>
  <si>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</si>
  <si>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</si>
  <si>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</si>
  <si>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</si>
  <si>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</si>
  <si>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</si>
  <si>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</si>
  <si>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</si>
  <si>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</si>
  <si>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</si>
  <si>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</si>
  <si>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</si>
  <si>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</si>
  <si>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</si>
  <si>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</si>
  <si>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</si>
  <si>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</si>
  <si>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</si>
  <si>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</si>
  <si>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</si>
  <si>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</si>
  <si>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</si>
  <si>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</si>
  <si>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</si>
  <si>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</si>
  <si>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</si>
  <si>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</si>
  <si>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</si>
  <si>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</si>
  <si>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</si>
  <si>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</si>
  <si>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</si>
  <si>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</si>
  <si>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</si>
  <si>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</si>
  <si>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</si>
  <si>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</si>
  <si>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</si>
  <si>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</si>
  <si>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</si>
  <si>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</si>
  <si>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</si>
  <si>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</si>
  <si>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</si>
  <si>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</si>
  <si>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</si>
  <si>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</si>
  <si>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</si>
  <si>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</si>
  <si>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</si>
  <si>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</si>
  <si>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</si>
  <si>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</si>
  <si>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</si>
  <si>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</si>
  <si>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</si>
  <si>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</si>
  <si>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</si>
  <si>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</si>
  <si>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</si>
  <si>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</si>
  <si>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</si>
  <si>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</si>
  <si>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</si>
  <si>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</si>
  <si>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</si>
  <si>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</si>
  <si>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</si>
  <si>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</si>
  <si>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</si>
  <si>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</si>
  <si>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</si>
  <si>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</si>
  <si>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</si>
  <si>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</si>
  <si>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</si>
  <si>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</si>
  <si>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</si>
  <si>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</si>
  <si>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</si>
  <si>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</si>
  <si>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</si>
  <si>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</si>
  <si>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</si>
  <si>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</si>
  <si>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</si>
  <si>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</si>
  <si>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</si>
  <si>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</si>
  <si>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</si>
  <si>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</si>
  <si>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</si>
  <si>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</si>
  <si>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</si>
  <si>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</si>
  <si>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</si>
  <si>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</si>
  <si>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</si>
  <si>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</si>
  <si>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</si>
  <si>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</si>
  <si>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</si>
  <si>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</si>
  <si>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</si>
  <si>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</si>
  <si>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</si>
  <si>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</si>
  <si>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</si>
  <si>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</si>
  <si>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</si>
  <si>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</si>
  <si>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</si>
  <si>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</si>
  <si>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</si>
  <si>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</si>
  <si>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</si>
  <si>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</si>
  <si>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</si>
  <si>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</si>
  <si>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</si>
  <si>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</si>
  <si>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</si>
  <si>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</si>
  <si>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</si>
  <si>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시스템 개발</t>
  </si>
  <si>
    <t>분석</t>
  </si>
  <si>
    <t>설계</t>
  </si>
  <si>
    <t>개발</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</si>
  <si>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</si>
  <si>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</si>
  <si>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</si>
  <si>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</si>
  <si>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</si>
  <si>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</si>
  <si>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</si>
  <si>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</si>
  <si>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</si>
  <si>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</si>
  <si>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</si>
  <si>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</si>
  <si>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</si>
  <si>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</si>
  <si>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</si>
  <si>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</si>
  <si>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</si>
  <si>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</si>
  <si>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1.1.2</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</si>
  <si>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</si>
  <si>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</si>
  <si>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</si>
  <si>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</si>
  <si>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</si>
  <si>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</si>
  <si>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</si>
  <si>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</si>
  <si>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</si>
  <si>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</si>
  <si>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</si>
  <si>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</si>
  <si>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</si>
  <si>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</si>
  <si>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</si>
  <si>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</si>
  <si>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</si>
  <si>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</si>
  <si>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</si>
  <si>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</si>
  <si>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</si>
  <si>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담당</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</si>
  <si>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</si>
  <si>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</si>
  <si>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</si>
  <si>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</si>
  <si>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</si>
  <si>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</si>
  <si>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</si>
  <si>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</si>
  <si>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</si>
  <si>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</si>
  <si>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</si>
  <si>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</si>
  <si>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</si>
  <si>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</si>
  <si>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</si>
  <si>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</si>
  <si>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</si>
  <si>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</si>
  <si>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</si>
  <si>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</si>
  <si>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</si>
  <si>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</si>
  <si>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</si>
  <si>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</si>
  <si>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</si>
  <si>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</si>
  <si>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</si>
  <si>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</si>
  <si>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</si>
  <si>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</si>
  <si>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</si>
  <si>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</si>
  <si>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</si>
  <si>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</si>
  <si>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</si>
  <si>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</si>
  <si>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</si>
  <si>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</si>
  <si>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</si>
  <si>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</si>
  <si>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</si>
  <si>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</si>
  <si>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</si>
  <si>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</si>
  <si>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</si>
  <si>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</si>
  <si>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</si>
  <si>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</si>
  <si>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</si>
  <si>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</si>
  <si>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</si>
  <si>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</si>
  <si>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</si>
  <si>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</si>
  <si>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</si>
  <si>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</si>
  <si>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</si>
  <si>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</si>
  <si>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</si>
  <si>
    <t>중쇄를찍자!</t>
    <phoneticPr fontId="2" type="noConversion"/>
  </si>
  <si>
    <t>필요자료 정리</t>
  </si>
  <si>
    <t>타겟유저 분석</t>
  </si>
  <si>
    <t>서버 구축</t>
  </si>
  <si>
    <t>DB 설계</t>
  </si>
  <si>
    <t>프로그램 설계</t>
  </si>
  <si>
    <t>화면정의서 작성</t>
  </si>
  <si>
    <t>발표</t>
  </si>
  <si>
    <t>기획발표</t>
  </si>
  <si>
    <t>중간발표</t>
  </si>
  <si>
    <t>최종발표</t>
  </si>
  <si>
    <t>ppt 준비</t>
  </si>
  <si>
    <t>발표자 선정</t>
  </si>
  <si>
    <t>시장 조사</t>
  </si>
  <si>
    <t>주제선정</t>
  </si>
  <si>
    <t>기능정의</t>
  </si>
  <si>
    <t>뷰어 구현</t>
  </si>
  <si>
    <t>기타 벡엔드 전반 구현</t>
  </si>
  <si>
    <t>앱 페이지 구현</t>
  </si>
  <si>
    <t>웹 페이지 구현</t>
  </si>
  <si>
    <t>에디터 구현</t>
  </si>
  <si>
    <t>ppt 대본 준비 및 수정</t>
  </si>
  <si>
    <t>1.1.3</t>
  </si>
  <si>
    <t>1.1.4</t>
  </si>
  <si>
    <t>1.1.5</t>
  </si>
  <si>
    <t>1.3.5</t>
  </si>
  <si>
    <t>1.4.1.1</t>
  </si>
  <si>
    <t>1.4.1.2</t>
  </si>
  <si>
    <t>1.4.1.3</t>
  </si>
  <si>
    <t>1.4.2.1</t>
  </si>
  <si>
    <t>1.4.2.2</t>
  </si>
  <si>
    <t>1.4.2.3</t>
  </si>
  <si>
    <t>1.4.2.4</t>
  </si>
  <si>
    <t>1.4.3.1</t>
  </si>
  <si>
    <t>1.4.3.2</t>
  </si>
  <si>
    <t>1.4.3.3</t>
  </si>
  <si>
    <t>1.4.3.4</t>
  </si>
  <si>
    <t>디버깅 및 오류 픽스</t>
  </si>
  <si>
    <t>1.3.6</t>
  </si>
  <si>
    <t>파일 변환 기능</t>
  </si>
  <si>
    <t>인프라 구축</t>
  </si>
  <si>
    <t>EC2 ubuntu</t>
  </si>
  <si>
    <t>RDS mariadb</t>
  </si>
  <si>
    <t>S3file storage</t>
  </si>
  <si>
    <t>스토리보드 설계</t>
  </si>
  <si>
    <t>사용자별 책갈피</t>
  </si>
  <si>
    <t>뷰어 상세</t>
  </si>
  <si>
    <t>앱 페이지 관련</t>
  </si>
  <si>
    <t>1</t>
  </si>
  <si>
    <t>1.1</t>
  </si>
  <si>
    <t>1.2</t>
  </si>
  <si>
    <t>1.2.1.1</t>
  </si>
  <si>
    <t>1.2.1.2</t>
  </si>
  <si>
    <t>1.2.1.3</t>
  </si>
  <si>
    <t>1.2.5</t>
  </si>
  <si>
    <t>1.3</t>
  </si>
  <si>
    <t>1.3.4.1</t>
  </si>
  <si>
    <t>1.4</t>
  </si>
  <si>
    <t>1.4.1</t>
  </si>
  <si>
    <t>1.4.2</t>
  </si>
  <si>
    <t>1.4.3</t>
  </si>
  <si>
    <t>메인 페이지 및 사이드 바 구현</t>
  </si>
  <si>
    <t>검색 바 및 검색페이지 구현</t>
  </si>
  <si>
    <t>로그인&amp;계정관리 구현</t>
  </si>
  <si>
    <t>포인트 관리 페이지 구현</t>
  </si>
  <si>
    <t>내 서재 및 관심작품 구현</t>
  </si>
  <si>
    <t>피드 구현</t>
  </si>
  <si>
    <t>1.3.1.1</t>
  </si>
  <si>
    <t>1.3.1.2</t>
  </si>
  <si>
    <t>리소스 관리(s3)</t>
  </si>
  <si>
    <t>템플릿 적용</t>
  </si>
  <si>
    <t>1.3.3.1</t>
  </si>
  <si>
    <t>1.3.3.2</t>
  </si>
  <si>
    <t>백엔드</t>
  </si>
  <si>
    <t>프론트엔드</t>
  </si>
  <si>
    <t>로그인 기능 구현</t>
  </si>
  <si>
    <t>epub 파일 리딩</t>
  </si>
  <si>
    <t>1.3.1.1.1</t>
  </si>
  <si>
    <t>1.3.1.1.2</t>
  </si>
  <si>
    <t>1.3.1.1.3</t>
  </si>
  <si>
    <t>1.3.1.2.1</t>
  </si>
  <si>
    <t>1.3.1.2.2</t>
  </si>
  <si>
    <t>1.3.2.1</t>
  </si>
  <si>
    <t>기타 기능 전반 구현</t>
  </si>
  <si>
    <t>공통</t>
  </si>
  <si>
    <t>메시지</t>
  </si>
  <si>
    <t>회원관련 모듈</t>
  </si>
  <si>
    <t>사용자 정보 변경</t>
  </si>
  <si>
    <t>id,pw찾기</t>
  </si>
  <si>
    <t>사용자 정보 변경 페이지</t>
  </si>
  <si>
    <t>id,pw찾기 페이지</t>
  </si>
  <si>
    <t>작가페이지</t>
  </si>
  <si>
    <t>작품리스트</t>
  </si>
  <si>
    <t>작품 수익</t>
  </si>
  <si>
    <t>작품리스트 페이지</t>
  </si>
  <si>
    <t>작품 수익 페이지</t>
  </si>
  <si>
    <t>일러스트 스토어 관련</t>
  </si>
  <si>
    <t>일러스트 뷰어</t>
  </si>
  <si>
    <t>일러스트 검색</t>
  </si>
  <si>
    <t>일러스트 구매</t>
  </si>
  <si>
    <t>일러스트 신청</t>
  </si>
  <si>
    <t>작업방</t>
  </si>
  <si>
    <t>채팅방 구현</t>
  </si>
  <si>
    <t>코멘트,리뷰</t>
  </si>
  <si>
    <t>조회수, 추천수 관리</t>
  </si>
  <si>
    <t>채팅방 페이지</t>
  </si>
  <si>
    <t>코멘트,리뷰 페이지</t>
  </si>
  <si>
    <t>1.3.1.1.4</t>
  </si>
  <si>
    <t>1.3.3.1.1</t>
  </si>
  <si>
    <t>1.3.3.2.1</t>
  </si>
  <si>
    <t>1.3.3.2.1.1</t>
  </si>
  <si>
    <t>1.3.3.2.1.2</t>
  </si>
  <si>
    <t>1.3.3.2.2</t>
  </si>
  <si>
    <t>1.3.3.2.2.1</t>
  </si>
  <si>
    <t>1.3.3.2.2.2</t>
  </si>
  <si>
    <t>1.3.3.2.2.3</t>
  </si>
  <si>
    <t>1.3.3.3</t>
  </si>
  <si>
    <t>1.3.3.3.1</t>
  </si>
  <si>
    <t>1.3.3.3.1.1</t>
  </si>
  <si>
    <t>1.3.3.3.1.2</t>
  </si>
  <si>
    <t>1.3.3.3.2</t>
  </si>
  <si>
    <t>1.3.3.3.2.1</t>
  </si>
  <si>
    <t>1.3.3.3.2.2</t>
  </si>
  <si>
    <t>1.3.3.4</t>
  </si>
  <si>
    <t>1.3.3.4.1</t>
  </si>
  <si>
    <t>1.3.3.4.1.1</t>
  </si>
  <si>
    <t>1.3.3.4.1.2</t>
  </si>
  <si>
    <t>1.3.3.4.1.3</t>
  </si>
  <si>
    <t>1.3.3.4.1.4</t>
  </si>
  <si>
    <t>1.3.3.4.2</t>
  </si>
  <si>
    <t>1.3.3.4.2.1</t>
  </si>
  <si>
    <t>1.3.3.4.2.2</t>
  </si>
  <si>
    <t>1.3.3.4.2.3</t>
  </si>
  <si>
    <t>1.3.3.4.2.4</t>
  </si>
  <si>
    <t>1.3.3.5</t>
  </si>
  <si>
    <t>1.3.3.5.1</t>
  </si>
  <si>
    <t>1.3.3.5.1.1</t>
  </si>
  <si>
    <t>1.3.3.5.1.2</t>
  </si>
  <si>
    <t>1.3.3.5.1.3</t>
  </si>
  <si>
    <t>1.3.3.5.2</t>
  </si>
  <si>
    <t>1.3.3.5.2.1</t>
  </si>
  <si>
    <t>1.3.3.5.2.2</t>
  </si>
  <si>
    <t>1.3.3.5.2.3</t>
  </si>
  <si>
    <t>1.3.5.1</t>
  </si>
  <si>
    <t>1.3.5.2</t>
  </si>
  <si>
    <t>1.3.5.3</t>
  </si>
  <si>
    <t>1.3.5.4</t>
  </si>
  <si>
    <t>1.3.5.5</t>
  </si>
  <si>
    <t>1.3.5.6</t>
  </si>
  <si>
    <t>임홍기</t>
  </si>
  <si>
    <t>박형진</t>
  </si>
  <si>
    <t>곽민수, 한혜은</t>
  </si>
  <si>
    <t>김은광</t>
  </si>
  <si>
    <t>곽민수</t>
  </si>
  <si>
    <t>한혜은</t>
  </si>
  <si>
    <t>에디터 페이지(에디터, 로그인, 리소스 등)</t>
  </si>
  <si>
    <t>에디터 버튼 기능</t>
  </si>
  <si>
    <t>1.3.1.2.3</t>
  </si>
  <si>
    <t>임홍기, 김은채, 한혜은, 김은광</t>
  </si>
  <si>
    <t>박형진, 곽민수</t>
  </si>
  <si>
    <t>전원</t>
  </si>
  <si>
    <t>박형진, 임홍기</t>
  </si>
  <si>
    <t>김은채, 임홍기</t>
  </si>
  <si>
    <t>박형진, 김은채, 임홍기</t>
  </si>
  <si>
    <t>임홍기, 김은채, 박형진</t>
  </si>
  <si>
    <t>회원가입 페이지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</si>
</sst>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맑은 고딕"/>
      <family val="2"/>
      <charset val="129"/>
    </font>
    <font>
      <sz val="9"/>
      <name val="맑은 고딕"/>
      <family val="3"/>
      <charset val="129"/>
    </font>
    <font>
      <sz val="9"/>
      <name val="Calibri"/>
      <family val="3"/>
      <charset val="129"/>
    </font>
    <font>
      <i/>
      <sz val="9"/>
      <name val="맑은 고딕"/>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61">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Font="1" applyFill="1" applyBorder="1" applyAlignment="1" applyProtection="1">
      <alignment horizontal="left" vertical="top"/>
      <protection locked="0"/>
    </xf>
    <xf numFmtId="0" fontId="45"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14" fontId="12" fillId="0" borderId="7" xfId="4" applyNumberFormat="1" applyFont="1" applyFill="1" applyBorder="1" applyAlignment="1" applyProtection="1">
      <alignment horizontal="left" vertical="center"/>
      <protection locked="0"/>
    </xf>
    <xf numFmtId="14" fontId="12" fillId="0" borderId="7" xfId="4" applyNumberFormat="1" applyFont="1" applyFill="1" applyBorder="1" applyAlignment="1" applyProtection="1">
      <alignment horizontal="center" vertical="center"/>
      <protection locked="0"/>
    </xf>
    <xf numFmtId="0" fontId="12" fillId="0" borderId="7" xfId="4" applyFont="1" applyFill="1" applyBorder="1" applyAlignment="1" applyProtection="1">
      <alignment horizontal="center" vertical="center"/>
      <protection locked="0"/>
    </xf>
    <xf numFmtId="10" fontId="12" fillId="0" borderId="7" xfId="6" applyNumberFormat="1" applyFont="1" applyFill="1" applyBorder="1" applyAlignment="1" applyProtection="1">
      <alignment horizontal="right" vertical="center"/>
      <protection locked="0"/>
    </xf>
    <xf numFmtId="0" fontId="12" fillId="0" borderId="7" xfId="4" applyFont="1" applyFill="1" applyBorder="1" applyAlignment="1" applyProtection="1">
      <alignment horizontal="center" vertical="top"/>
      <protection locked="0"/>
    </xf>
    <xf numFmtId="0" fontId="46" fillId="0" borderId="7" xfId="4" applyFont="1" applyFill="1" applyBorder="1" applyAlignment="1" applyProtection="1">
      <alignment horizontal="left" vertical="top"/>
      <protection locked="0"/>
    </xf>
    <xf numFmtId="0" fontId="44" fillId="0" borderId="7" xfId="4" applyFont="1" applyFill="1" applyBorder="1" applyAlignment="1" applyProtection="1">
      <alignment horizontal="left" vertical="center"/>
      <protection locked="0"/>
    </xf>
    <xf numFmtId="14" fontId="12" fillId="0" borderId="7" xfId="4" applyNumberFormat="1" applyFont="1" applyFill="1" applyBorder="1" applyAlignment="1" applyProtection="1">
      <alignment vertical="top"/>
      <protection locked="0"/>
    </xf>
    <xf numFmtId="0" fontId="12" fillId="0" borderId="7" xfId="4" applyNumberFormat="1" applyFont="1" applyFill="1" applyBorder="1" applyAlignment="1" applyProtection="1">
      <alignment vertical="top"/>
      <protection locked="0"/>
    </xf>
    <xf numFmtId="14" fontId="12" fillId="0" borderId="7" xfId="4" applyNumberFormat="1" applyFont="1" applyFill="1" applyBorder="1" applyAlignment="1" applyProtection="1">
      <alignment vertical="center"/>
      <protection locked="0"/>
    </xf>
    <xf numFmtId="0" fontId="44" fillId="0" borderId="7" xfId="4" applyNumberFormat="1" applyFont="1" applyFill="1" applyBorder="1" applyAlignment="1" applyProtection="1">
      <alignment horizontal="left" vertical="top"/>
      <protection locked="0"/>
    </xf>
    <xf numFmtId="0" fontId="47" fillId="0" borderId="7" xfId="4" applyFont="1" applyFill="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AnalysisReport!$C$7:$C$29</c:f>
              <c:numCache>
                <c:formatCode>m/d/yyyy</c:formatCode>
                <c:ptCount val="23"/>
                <c:pt idx="0">
                  <c:v>43484</c:v>
                </c:pt>
                <c:pt idx="1">
                  <c:v>43491</c:v>
                </c:pt>
                <c:pt idx="2">
                  <c:v>43498</c:v>
                </c:pt>
                <c:pt idx="3">
                  <c:v>43505</c:v>
                </c:pt>
                <c:pt idx="4">
                  <c:v>43512</c:v>
                </c:pt>
                <c:pt idx="5">
                  <c:v>43519</c:v>
                </c:pt>
                <c:pt idx="6">
                  <c:v>43526</c:v>
                </c:pt>
                <c:pt idx="7">
                  <c:v>43533</c:v>
                </c:pt>
                <c:pt idx="8">
                  <c:v>43540</c:v>
                </c:pt>
                <c:pt idx="9">
                  <c:v>43547</c:v>
                </c:pt>
                <c:pt idx="10">
                  <c:v>43554</c:v>
                </c:pt>
                <c:pt idx="11">
                  <c:v>43561</c:v>
                </c:pt>
                <c:pt idx="12">
                  <c:v>43568</c:v>
                </c:pt>
                <c:pt idx="13">
                  <c:v>43575</c:v>
                </c:pt>
                <c:pt idx="14">
                  <c:v>43582</c:v>
                </c:pt>
                <c:pt idx="15">
                  <c:v>43589</c:v>
                </c:pt>
                <c:pt idx="16">
                  <c:v>43596</c:v>
                </c:pt>
                <c:pt idx="17">
                  <c:v>43603</c:v>
                </c:pt>
                <c:pt idx="18">
                  <c:v>43610</c:v>
                </c:pt>
                <c:pt idx="19">
                  <c:v>43617</c:v>
                </c:pt>
                <c:pt idx="20">
                  <c:v>43624</c:v>
                </c:pt>
                <c:pt idx="21">
                  <c:v>43631</c:v>
                </c:pt>
                <c:pt idx="22">
                  <c:v>43638</c:v>
                </c:pt>
              </c:numCache>
            </c:numRef>
          </c:cat>
          <c:val>
            <c:numRef>
              <c:f>AnalysisReport!$F$7:$F$29</c:f>
              <c:numCache>
                <c:formatCode>0.00%</c:formatCode>
                <c:ptCount val="23"/>
                <c:pt idx="0">
                  <c:v>1.5332197614991482E-2</c:v>
                </c:pt>
                <c:pt idx="1">
                  <c:v>8.1771720613287899E-2</c:v>
                </c:pt>
                <c:pt idx="2">
                  <c:v>0.16183986371379896</c:v>
                </c:pt>
                <c:pt idx="3">
                  <c:v>0.16183986371379896</c:v>
                </c:pt>
                <c:pt idx="4">
                  <c:v>0.18228279386712096</c:v>
                </c:pt>
                <c:pt idx="5">
                  <c:v>0.22487223168654175</c:v>
                </c:pt>
                <c:pt idx="6">
                  <c:v>0.28620102214650767</c:v>
                </c:pt>
                <c:pt idx="7">
                  <c:v>0.3219761499148211</c:v>
                </c:pt>
                <c:pt idx="8">
                  <c:v>0.33901192504258942</c:v>
                </c:pt>
                <c:pt idx="9">
                  <c:v>0.35604770017035775</c:v>
                </c:pt>
                <c:pt idx="10">
                  <c:v>0.38330494037478707</c:v>
                </c:pt>
                <c:pt idx="11">
                  <c:v>0.434412265758092</c:v>
                </c:pt>
                <c:pt idx="12">
                  <c:v>0.48551959114139692</c:v>
                </c:pt>
                <c:pt idx="13">
                  <c:v>0.52981260647359452</c:v>
                </c:pt>
                <c:pt idx="14">
                  <c:v>0.56388415672913117</c:v>
                </c:pt>
                <c:pt idx="15">
                  <c:v>0.61839863713798982</c:v>
                </c:pt>
                <c:pt idx="16">
                  <c:v>0.67972742759795568</c:v>
                </c:pt>
                <c:pt idx="17">
                  <c:v>0.7120954003407155</c:v>
                </c:pt>
                <c:pt idx="18">
                  <c:v>0.76320272572402048</c:v>
                </c:pt>
                <c:pt idx="19">
                  <c:v>0.81431005110732535</c:v>
                </c:pt>
                <c:pt idx="20">
                  <c:v>0.87052810902896083</c:v>
                </c:pt>
                <c:pt idx="21">
                  <c:v>0.96081771720613285</c:v>
                </c:pt>
                <c:pt idx="22">
                  <c:v>1</c:v>
                </c:pt>
              </c:numCache>
            </c:numRef>
          </c:val>
          <c:smooth val="0"/>
          <c:extLst>
            <c:ext xmlns:c16="http://schemas.microsoft.com/office/drawing/2014/chart" uri="{C3380CC4-5D6E-409C-BE32-E72D297353CC}">
              <c16:uniqueId val="{00000000-43EF-479F-8B40-B06246F17432}"/>
            </c:ext>
          </c:extLst>
        </c:ser>
        <c:dLbls>
          <c:showLegendKey val="0"/>
          <c:showVal val="0"/>
          <c:showCatName val="0"/>
          <c:showSerName val="0"/>
          <c:showPercent val="0"/>
          <c:showBubbleSize val="0"/>
        </c:dLbls>
        <c:marker val="1"/>
        <c:smooth val="0"/>
        <c:axId val="295463424"/>
        <c:axId val="295466376"/>
      </c:lineChart>
      <c:dateAx>
        <c:axId val="29546342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95466376"/>
        <c:crosses val="autoZero"/>
        <c:auto val="1"/>
        <c:lblOffset val="100"/>
        <c:baseTimeUnit val="days"/>
      </c:dateAx>
      <c:valAx>
        <c:axId val="295466376"/>
        <c:scaling>
          <c:orientation val="minMax"/>
        </c:scaling>
        <c:delete val="0"/>
        <c:axPos val="l"/>
        <c:majorGridlines/>
        <c:numFmt formatCode="0.00%" sourceLinked="1"/>
        <c:majorTickMark val="out"/>
        <c:minorTickMark val="none"/>
        <c:tickLblPos val="nextTo"/>
        <c:crossAx val="29546342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50</xdr:col>
      <xdr:colOff>100149</xdr:colOff>
      <xdr:row>94</xdr:row>
      <xdr:rowOff>22859</xdr:rowOff>
    </xdr:from>
    <xdr:to>
      <xdr:col>50</xdr:col>
      <xdr:colOff>120831</xdr:colOff>
      <xdr:row>94</xdr:row>
      <xdr:rowOff>137159</xdr:rowOff>
    </xdr:to>
    <xdr:sp macro="" textlink="">
      <xdr:nvSpPr>
        <xdr:cNvPr id="4" name="직사각형 3">
          <a:extLst>
            <a:ext uri="{FF2B5EF4-FFF2-40B4-BE49-F238E27FC236}">
              <a16:creationId xmlns:a16="http://schemas.microsoft.com/office/drawing/2014/main" id="{FB766C72-D405-45A5-822B-95E9D0BE1FCF}"/>
            </a:ext>
          </a:extLst>
        </xdr:cNvPr>
        <xdr:cNvSpPr/>
      </xdr:nvSpPr>
      <xdr:spPr>
        <a:xfrm>
          <a:off x="11796849" y="1608200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100149</xdr:colOff>
      <xdr:row>94</xdr:row>
      <xdr:rowOff>80009</xdr:rowOff>
    </xdr:from>
    <xdr:to>
      <xdr:col>50</xdr:col>
      <xdr:colOff>100149</xdr:colOff>
      <xdr:row>94</xdr:row>
      <xdr:rowOff>80009</xdr:rowOff>
    </xdr:to>
    <xdr:cxnSp macro="">
      <xdr:nvCxnSpPr>
        <xdr:cNvPr id="5" name="직선 화살표 연결선 4">
          <a:extLst>
            <a:ext uri="{FF2B5EF4-FFF2-40B4-BE49-F238E27FC236}">
              <a16:creationId xmlns:a16="http://schemas.microsoft.com/office/drawing/2014/main" id="{03C9A88A-05A0-4E5A-80AC-099808AAEB14}"/>
            </a:ext>
          </a:extLst>
        </xdr:cNvPr>
        <xdr:cNvCxnSpPr/>
      </xdr:nvCxnSpPr>
      <xdr:spPr>
        <a:xfrm>
          <a:off x="11796849" y="1613915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77560</xdr:colOff>
      <xdr:row>93</xdr:row>
      <xdr:rowOff>34289</xdr:rowOff>
    </xdr:from>
    <xdr:to>
      <xdr:col>50</xdr:col>
      <xdr:colOff>100149</xdr:colOff>
      <xdr:row>93</xdr:row>
      <xdr:rowOff>148589</xdr:rowOff>
    </xdr:to>
    <xdr:sp macro="" textlink="">
      <xdr:nvSpPr>
        <xdr:cNvPr id="6" name="직사각형 5">
          <a:extLst>
            <a:ext uri="{FF2B5EF4-FFF2-40B4-BE49-F238E27FC236}">
              <a16:creationId xmlns:a16="http://schemas.microsoft.com/office/drawing/2014/main" id="{BB9B5D91-269F-4524-802A-76B06AA97F11}"/>
            </a:ext>
          </a:extLst>
        </xdr:cNvPr>
        <xdr:cNvSpPr/>
      </xdr:nvSpPr>
      <xdr:spPr>
        <a:xfrm>
          <a:off x="11631385" y="15921989"/>
          <a:ext cx="165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77560</xdr:colOff>
      <xdr:row>93</xdr:row>
      <xdr:rowOff>91439</xdr:rowOff>
    </xdr:from>
    <xdr:to>
      <xdr:col>49</xdr:col>
      <xdr:colOff>77560</xdr:colOff>
      <xdr:row>93</xdr:row>
      <xdr:rowOff>91439</xdr:rowOff>
    </xdr:to>
    <xdr:cxnSp macro="">
      <xdr:nvCxnSpPr>
        <xdr:cNvPr id="7" name="직선 화살표 연결선 6">
          <a:extLst>
            <a:ext uri="{FF2B5EF4-FFF2-40B4-BE49-F238E27FC236}">
              <a16:creationId xmlns:a16="http://schemas.microsoft.com/office/drawing/2014/main" id="{064A5EFA-DA99-4F8C-90F0-34E98635F791}"/>
            </a:ext>
          </a:extLst>
        </xdr:cNvPr>
        <xdr:cNvCxnSpPr/>
      </xdr:nvCxnSpPr>
      <xdr:spPr>
        <a:xfrm>
          <a:off x="11631385" y="1597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117022</xdr:colOff>
      <xdr:row>92</xdr:row>
      <xdr:rowOff>34289</xdr:rowOff>
    </xdr:from>
    <xdr:to>
      <xdr:col>50</xdr:col>
      <xdr:colOff>100149</xdr:colOff>
      <xdr:row>92</xdr:row>
      <xdr:rowOff>148589</xdr:rowOff>
    </xdr:to>
    <xdr:sp macro="" textlink="">
      <xdr:nvSpPr>
        <xdr:cNvPr id="8" name="직사각형 7">
          <a:extLst>
            <a:ext uri="{FF2B5EF4-FFF2-40B4-BE49-F238E27FC236}">
              <a16:creationId xmlns:a16="http://schemas.microsoft.com/office/drawing/2014/main" id="{FCDCC0D5-4EFD-4443-9BE8-A8BF946EC79D}"/>
            </a:ext>
          </a:extLst>
        </xdr:cNvPr>
        <xdr:cNvSpPr/>
      </xdr:nvSpPr>
      <xdr:spPr>
        <a:xfrm>
          <a:off x="11527972" y="15769589"/>
          <a:ext cx="2688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117022</xdr:colOff>
      <xdr:row>92</xdr:row>
      <xdr:rowOff>91439</xdr:rowOff>
    </xdr:from>
    <xdr:to>
      <xdr:col>48</xdr:col>
      <xdr:colOff>117022</xdr:colOff>
      <xdr:row>92</xdr:row>
      <xdr:rowOff>91439</xdr:rowOff>
    </xdr:to>
    <xdr:cxnSp macro="">
      <xdr:nvCxnSpPr>
        <xdr:cNvPr id="9" name="직선 화살표 연결선 8">
          <a:extLst>
            <a:ext uri="{FF2B5EF4-FFF2-40B4-BE49-F238E27FC236}">
              <a16:creationId xmlns:a16="http://schemas.microsoft.com/office/drawing/2014/main" id="{75812F35-0E73-43B8-B71D-BA20DEC83919}"/>
            </a:ext>
          </a:extLst>
        </xdr:cNvPr>
        <xdr:cNvCxnSpPr/>
      </xdr:nvCxnSpPr>
      <xdr:spPr>
        <a:xfrm>
          <a:off x="11527972" y="1582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96338</xdr:colOff>
      <xdr:row>91</xdr:row>
      <xdr:rowOff>45720</xdr:rowOff>
    </xdr:from>
    <xdr:to>
      <xdr:col>48</xdr:col>
      <xdr:colOff>117022</xdr:colOff>
      <xdr:row>91</xdr:row>
      <xdr:rowOff>160020</xdr:rowOff>
    </xdr:to>
    <xdr:sp macro="" textlink="">
      <xdr:nvSpPr>
        <xdr:cNvPr id="10" name="직사각형 9">
          <a:extLst>
            <a:ext uri="{FF2B5EF4-FFF2-40B4-BE49-F238E27FC236}">
              <a16:creationId xmlns:a16="http://schemas.microsoft.com/office/drawing/2014/main" id="{EB569017-A0EF-4D7F-A15A-D9C731D2B338}"/>
            </a:ext>
          </a:extLst>
        </xdr:cNvPr>
        <xdr:cNvSpPr/>
      </xdr:nvSpPr>
      <xdr:spPr>
        <a:xfrm>
          <a:off x="11507288" y="1560957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96338</xdr:colOff>
      <xdr:row>91</xdr:row>
      <xdr:rowOff>102870</xdr:rowOff>
    </xdr:from>
    <xdr:to>
      <xdr:col>48</xdr:col>
      <xdr:colOff>96338</xdr:colOff>
      <xdr:row>91</xdr:row>
      <xdr:rowOff>102870</xdr:rowOff>
    </xdr:to>
    <xdr:cxnSp macro="">
      <xdr:nvCxnSpPr>
        <xdr:cNvPr id="11" name="직선 화살표 연결선 10">
          <a:extLst>
            <a:ext uri="{FF2B5EF4-FFF2-40B4-BE49-F238E27FC236}">
              <a16:creationId xmlns:a16="http://schemas.microsoft.com/office/drawing/2014/main" id="{9FDC2674-ED05-4980-9ABC-99AC86AD924F}"/>
            </a:ext>
          </a:extLst>
        </xdr:cNvPr>
        <xdr:cNvCxnSpPr/>
      </xdr:nvCxnSpPr>
      <xdr:spPr>
        <a:xfrm>
          <a:off x="11507288" y="15666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96338</xdr:colOff>
      <xdr:row>90</xdr:row>
      <xdr:rowOff>57150</xdr:rowOff>
    </xdr:from>
    <xdr:to>
      <xdr:col>50</xdr:col>
      <xdr:colOff>120831</xdr:colOff>
      <xdr:row>91</xdr:row>
      <xdr:rowOff>0</xdr:rowOff>
    </xdr:to>
    <xdr:sp macro="" textlink="">
      <xdr:nvSpPr>
        <xdr:cNvPr id="12" name="직사각형 11">
          <a:extLst>
            <a:ext uri="{FF2B5EF4-FFF2-40B4-BE49-F238E27FC236}">
              <a16:creationId xmlns:a16="http://schemas.microsoft.com/office/drawing/2014/main" id="{20ED7016-D493-49FF-AA24-F8E4E9E83563}"/>
            </a:ext>
          </a:extLst>
        </xdr:cNvPr>
        <xdr:cNvSpPr/>
      </xdr:nvSpPr>
      <xdr:spPr>
        <a:xfrm>
          <a:off x="11507288" y="1544955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96338</xdr:colOff>
      <xdr:row>90</xdr:row>
      <xdr:rowOff>114300</xdr:rowOff>
    </xdr:from>
    <xdr:to>
      <xdr:col>48</xdr:col>
      <xdr:colOff>96338</xdr:colOff>
      <xdr:row>90</xdr:row>
      <xdr:rowOff>114300</xdr:rowOff>
    </xdr:to>
    <xdr:cxnSp macro="">
      <xdr:nvCxnSpPr>
        <xdr:cNvPr id="13" name="직선 화살표 연결선 12">
          <a:extLst>
            <a:ext uri="{FF2B5EF4-FFF2-40B4-BE49-F238E27FC236}">
              <a16:creationId xmlns:a16="http://schemas.microsoft.com/office/drawing/2014/main" id="{03B1AA84-833A-4896-8F64-4CA4A3390EC3}"/>
            </a:ext>
          </a:extLst>
        </xdr:cNvPr>
        <xdr:cNvCxnSpPr/>
      </xdr:nvCxnSpPr>
      <xdr:spPr>
        <a:xfrm>
          <a:off x="11507288" y="1550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90624</xdr:colOff>
      <xdr:row>89</xdr:row>
      <xdr:rowOff>68580</xdr:rowOff>
    </xdr:from>
    <xdr:to>
      <xdr:col>45</xdr:col>
      <xdr:colOff>111306</xdr:colOff>
      <xdr:row>90</xdr:row>
      <xdr:rowOff>11430</xdr:rowOff>
    </xdr:to>
    <xdr:sp macro="" textlink="">
      <xdr:nvSpPr>
        <xdr:cNvPr id="14" name="직사각형 13">
          <a:extLst>
            <a:ext uri="{FF2B5EF4-FFF2-40B4-BE49-F238E27FC236}">
              <a16:creationId xmlns:a16="http://schemas.microsoft.com/office/drawing/2014/main" id="{A14AD847-4D54-49A6-9A51-004A324A2351}"/>
            </a:ext>
          </a:extLst>
        </xdr:cNvPr>
        <xdr:cNvSpPr/>
      </xdr:nvSpPr>
      <xdr:spPr>
        <a:xfrm>
          <a:off x="11072949" y="152895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90624</xdr:colOff>
      <xdr:row>89</xdr:row>
      <xdr:rowOff>125730</xdr:rowOff>
    </xdr:from>
    <xdr:to>
      <xdr:col>45</xdr:col>
      <xdr:colOff>90624</xdr:colOff>
      <xdr:row>89</xdr:row>
      <xdr:rowOff>125730</xdr:rowOff>
    </xdr:to>
    <xdr:cxnSp macro="">
      <xdr:nvCxnSpPr>
        <xdr:cNvPr id="15" name="직선 화살표 연결선 14">
          <a:extLst>
            <a:ext uri="{FF2B5EF4-FFF2-40B4-BE49-F238E27FC236}">
              <a16:creationId xmlns:a16="http://schemas.microsoft.com/office/drawing/2014/main" id="{DBD68491-F51D-46C8-AA61-DA59BB1D013B}"/>
            </a:ext>
          </a:extLst>
        </xdr:cNvPr>
        <xdr:cNvCxnSpPr/>
      </xdr:nvCxnSpPr>
      <xdr:spPr>
        <a:xfrm>
          <a:off x="11072949" y="15346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68035</xdr:colOff>
      <xdr:row>88</xdr:row>
      <xdr:rowOff>72389</xdr:rowOff>
    </xdr:from>
    <xdr:to>
      <xdr:col>45</xdr:col>
      <xdr:colOff>90624</xdr:colOff>
      <xdr:row>89</xdr:row>
      <xdr:rowOff>15239</xdr:rowOff>
    </xdr:to>
    <xdr:sp macro="" textlink="">
      <xdr:nvSpPr>
        <xdr:cNvPr id="16" name="직사각형 15">
          <a:extLst>
            <a:ext uri="{FF2B5EF4-FFF2-40B4-BE49-F238E27FC236}">
              <a16:creationId xmlns:a16="http://schemas.microsoft.com/office/drawing/2014/main" id="{1C392FC7-9D14-4F77-8F4E-E66F07EBD88B}"/>
            </a:ext>
          </a:extLst>
        </xdr:cNvPr>
        <xdr:cNvSpPr/>
      </xdr:nvSpPr>
      <xdr:spPr>
        <a:xfrm>
          <a:off x="10907485" y="15121889"/>
          <a:ext cx="165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68035</xdr:colOff>
      <xdr:row>88</xdr:row>
      <xdr:rowOff>129539</xdr:rowOff>
    </xdr:from>
    <xdr:to>
      <xdr:col>44</xdr:col>
      <xdr:colOff>68035</xdr:colOff>
      <xdr:row>88</xdr:row>
      <xdr:rowOff>129539</xdr:rowOff>
    </xdr:to>
    <xdr:cxnSp macro="">
      <xdr:nvCxnSpPr>
        <xdr:cNvPr id="17" name="직선 화살표 연결선 16">
          <a:extLst>
            <a:ext uri="{FF2B5EF4-FFF2-40B4-BE49-F238E27FC236}">
              <a16:creationId xmlns:a16="http://schemas.microsoft.com/office/drawing/2014/main" id="{EDF2EC8E-F705-46AF-9F80-43F6862E6151}"/>
            </a:ext>
          </a:extLst>
        </xdr:cNvPr>
        <xdr:cNvCxnSpPr/>
      </xdr:nvCxnSpPr>
      <xdr:spPr>
        <a:xfrm>
          <a:off x="10907485" y="151790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107497</xdr:colOff>
      <xdr:row>87</xdr:row>
      <xdr:rowOff>76200</xdr:rowOff>
    </xdr:from>
    <xdr:to>
      <xdr:col>45</xdr:col>
      <xdr:colOff>90624</xdr:colOff>
      <xdr:row>88</xdr:row>
      <xdr:rowOff>19050</xdr:rowOff>
    </xdr:to>
    <xdr:sp macro="" textlink="">
      <xdr:nvSpPr>
        <xdr:cNvPr id="18" name="직사각형 17">
          <a:extLst>
            <a:ext uri="{FF2B5EF4-FFF2-40B4-BE49-F238E27FC236}">
              <a16:creationId xmlns:a16="http://schemas.microsoft.com/office/drawing/2014/main" id="{B0818659-ACD5-45C0-81A1-7BCA8E5A4C25}"/>
            </a:ext>
          </a:extLst>
        </xdr:cNvPr>
        <xdr:cNvSpPr/>
      </xdr:nvSpPr>
      <xdr:spPr>
        <a:xfrm>
          <a:off x="10804072" y="14954250"/>
          <a:ext cx="2688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107497</xdr:colOff>
      <xdr:row>87</xdr:row>
      <xdr:rowOff>133350</xdr:rowOff>
    </xdr:from>
    <xdr:to>
      <xdr:col>43</xdr:col>
      <xdr:colOff>107497</xdr:colOff>
      <xdr:row>87</xdr:row>
      <xdr:rowOff>133350</xdr:rowOff>
    </xdr:to>
    <xdr:cxnSp macro="">
      <xdr:nvCxnSpPr>
        <xdr:cNvPr id="19" name="직선 화살표 연결선 18">
          <a:extLst>
            <a:ext uri="{FF2B5EF4-FFF2-40B4-BE49-F238E27FC236}">
              <a16:creationId xmlns:a16="http://schemas.microsoft.com/office/drawing/2014/main" id="{F60A6C6C-9EB5-49EF-845C-72ADC2FCF659}"/>
            </a:ext>
          </a:extLst>
        </xdr:cNvPr>
        <xdr:cNvCxnSpPr/>
      </xdr:nvCxnSpPr>
      <xdr:spPr>
        <a:xfrm>
          <a:off x="10804072" y="15011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86813</xdr:colOff>
      <xdr:row>86</xdr:row>
      <xdr:rowOff>80009</xdr:rowOff>
    </xdr:from>
    <xdr:to>
      <xdr:col>43</xdr:col>
      <xdr:colOff>107497</xdr:colOff>
      <xdr:row>87</xdr:row>
      <xdr:rowOff>22859</xdr:rowOff>
    </xdr:to>
    <xdr:sp macro="" textlink="">
      <xdr:nvSpPr>
        <xdr:cNvPr id="20" name="직사각형 19">
          <a:extLst>
            <a:ext uri="{FF2B5EF4-FFF2-40B4-BE49-F238E27FC236}">
              <a16:creationId xmlns:a16="http://schemas.microsoft.com/office/drawing/2014/main" id="{B5D80870-9CCA-4D6A-A0E1-7237C5ACEA59}"/>
            </a:ext>
          </a:extLst>
        </xdr:cNvPr>
        <xdr:cNvSpPr/>
      </xdr:nvSpPr>
      <xdr:spPr>
        <a:xfrm>
          <a:off x="10783388" y="14786609"/>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86813</xdr:colOff>
      <xdr:row>86</xdr:row>
      <xdr:rowOff>137159</xdr:rowOff>
    </xdr:from>
    <xdr:to>
      <xdr:col>43</xdr:col>
      <xdr:colOff>86813</xdr:colOff>
      <xdr:row>86</xdr:row>
      <xdr:rowOff>137159</xdr:rowOff>
    </xdr:to>
    <xdr:cxnSp macro="">
      <xdr:nvCxnSpPr>
        <xdr:cNvPr id="21" name="직선 화살표 연결선 20">
          <a:extLst>
            <a:ext uri="{FF2B5EF4-FFF2-40B4-BE49-F238E27FC236}">
              <a16:creationId xmlns:a16="http://schemas.microsoft.com/office/drawing/2014/main" id="{98B06280-5CD1-4A0B-B24C-D786E53824BF}"/>
            </a:ext>
          </a:extLst>
        </xdr:cNvPr>
        <xdr:cNvCxnSpPr/>
      </xdr:nvCxnSpPr>
      <xdr:spPr>
        <a:xfrm>
          <a:off x="10783388" y="1484375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86813</xdr:colOff>
      <xdr:row>85</xdr:row>
      <xdr:rowOff>83820</xdr:rowOff>
    </xdr:from>
    <xdr:to>
      <xdr:col>45</xdr:col>
      <xdr:colOff>111306</xdr:colOff>
      <xdr:row>86</xdr:row>
      <xdr:rowOff>26670</xdr:rowOff>
    </xdr:to>
    <xdr:sp macro="" textlink="">
      <xdr:nvSpPr>
        <xdr:cNvPr id="22" name="직사각형 21">
          <a:extLst>
            <a:ext uri="{FF2B5EF4-FFF2-40B4-BE49-F238E27FC236}">
              <a16:creationId xmlns:a16="http://schemas.microsoft.com/office/drawing/2014/main" id="{F0B30838-05F5-4909-BD70-53AE240E2B89}"/>
            </a:ext>
          </a:extLst>
        </xdr:cNvPr>
        <xdr:cNvSpPr/>
      </xdr:nvSpPr>
      <xdr:spPr>
        <a:xfrm>
          <a:off x="10783388" y="1461897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86813</xdr:colOff>
      <xdr:row>85</xdr:row>
      <xdr:rowOff>140970</xdr:rowOff>
    </xdr:from>
    <xdr:to>
      <xdr:col>43</xdr:col>
      <xdr:colOff>86813</xdr:colOff>
      <xdr:row>85</xdr:row>
      <xdr:rowOff>140970</xdr:rowOff>
    </xdr:to>
    <xdr:cxnSp macro="">
      <xdr:nvCxnSpPr>
        <xdr:cNvPr id="23" name="직선 화살표 연결선 22">
          <a:extLst>
            <a:ext uri="{FF2B5EF4-FFF2-40B4-BE49-F238E27FC236}">
              <a16:creationId xmlns:a16="http://schemas.microsoft.com/office/drawing/2014/main" id="{43989A38-2A4F-47E8-A187-2AE50387AD86}"/>
            </a:ext>
          </a:extLst>
        </xdr:cNvPr>
        <xdr:cNvCxnSpPr/>
      </xdr:nvCxnSpPr>
      <xdr:spPr>
        <a:xfrm>
          <a:off x="10783388" y="14676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84</xdr:row>
      <xdr:rowOff>87630</xdr:rowOff>
    </xdr:from>
    <xdr:to>
      <xdr:col>30</xdr:col>
      <xdr:colOff>82731</xdr:colOff>
      <xdr:row>85</xdr:row>
      <xdr:rowOff>30480</xdr:rowOff>
    </xdr:to>
    <xdr:sp macro="" textlink="">
      <xdr:nvSpPr>
        <xdr:cNvPr id="24" name="직사각형 23">
          <a:extLst>
            <a:ext uri="{FF2B5EF4-FFF2-40B4-BE49-F238E27FC236}">
              <a16:creationId xmlns:a16="http://schemas.microsoft.com/office/drawing/2014/main" id="{AC6E80C2-F514-425B-983F-6F36E42CF1EC}"/>
            </a:ext>
          </a:extLst>
        </xdr:cNvPr>
        <xdr:cNvSpPr/>
      </xdr:nvSpPr>
      <xdr:spPr>
        <a:xfrm>
          <a:off x="8901249" y="144513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84</xdr:row>
      <xdr:rowOff>144780</xdr:rowOff>
    </xdr:from>
    <xdr:to>
      <xdr:col>30</xdr:col>
      <xdr:colOff>82731</xdr:colOff>
      <xdr:row>84</xdr:row>
      <xdr:rowOff>144780</xdr:rowOff>
    </xdr:to>
    <xdr:cxnSp macro="">
      <xdr:nvCxnSpPr>
        <xdr:cNvPr id="25" name="직선 화살표 연결선 24">
          <a:extLst>
            <a:ext uri="{FF2B5EF4-FFF2-40B4-BE49-F238E27FC236}">
              <a16:creationId xmlns:a16="http://schemas.microsoft.com/office/drawing/2014/main" id="{ED538509-2845-4B9C-8FDF-1FD8E91BFC5D}"/>
            </a:ext>
          </a:extLst>
        </xdr:cNvPr>
        <xdr:cNvCxnSpPr/>
      </xdr:nvCxnSpPr>
      <xdr:spPr>
        <a:xfrm>
          <a:off x="8901249" y="145084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83</xdr:row>
      <xdr:rowOff>91439</xdr:rowOff>
    </xdr:from>
    <xdr:to>
      <xdr:col>30</xdr:col>
      <xdr:colOff>62049</xdr:colOff>
      <xdr:row>84</xdr:row>
      <xdr:rowOff>34289</xdr:rowOff>
    </xdr:to>
    <xdr:sp macro="" textlink="">
      <xdr:nvSpPr>
        <xdr:cNvPr id="26" name="직사각형 25">
          <a:extLst>
            <a:ext uri="{FF2B5EF4-FFF2-40B4-BE49-F238E27FC236}">
              <a16:creationId xmlns:a16="http://schemas.microsoft.com/office/drawing/2014/main" id="{A2EC762C-4493-492B-9478-4C33A815DFCB}"/>
            </a:ext>
          </a:extLst>
        </xdr:cNvPr>
        <xdr:cNvSpPr/>
      </xdr:nvSpPr>
      <xdr:spPr>
        <a:xfrm>
          <a:off x="8756469" y="14283689"/>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83</xdr:row>
      <xdr:rowOff>148589</xdr:rowOff>
    </xdr:from>
    <xdr:to>
      <xdr:col>30</xdr:col>
      <xdr:colOff>62049</xdr:colOff>
      <xdr:row>83</xdr:row>
      <xdr:rowOff>148589</xdr:rowOff>
    </xdr:to>
    <xdr:cxnSp macro="">
      <xdr:nvCxnSpPr>
        <xdr:cNvPr id="27" name="직선 화살표 연결선 26">
          <a:extLst>
            <a:ext uri="{FF2B5EF4-FFF2-40B4-BE49-F238E27FC236}">
              <a16:creationId xmlns:a16="http://schemas.microsoft.com/office/drawing/2014/main" id="{A9FE99EF-F687-47F9-A4F2-2035D3D3A376}"/>
            </a:ext>
          </a:extLst>
        </xdr:cNvPr>
        <xdr:cNvCxnSpPr/>
      </xdr:nvCxnSpPr>
      <xdr:spPr>
        <a:xfrm>
          <a:off x="8756469" y="14340839"/>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82</xdr:row>
      <xdr:rowOff>95250</xdr:rowOff>
    </xdr:from>
    <xdr:to>
      <xdr:col>30</xdr:col>
      <xdr:colOff>62049</xdr:colOff>
      <xdr:row>83</xdr:row>
      <xdr:rowOff>38100</xdr:rowOff>
    </xdr:to>
    <xdr:sp macro="" textlink="">
      <xdr:nvSpPr>
        <xdr:cNvPr id="28" name="직사각형 27">
          <a:extLst>
            <a:ext uri="{FF2B5EF4-FFF2-40B4-BE49-F238E27FC236}">
              <a16:creationId xmlns:a16="http://schemas.microsoft.com/office/drawing/2014/main" id="{0933FA15-DA5C-4FFD-84D2-949E3291ADEA}"/>
            </a:ext>
          </a:extLst>
        </xdr:cNvPr>
        <xdr:cNvSpPr/>
      </xdr:nvSpPr>
      <xdr:spPr>
        <a:xfrm>
          <a:off x="8611688" y="14116050"/>
          <a:ext cx="28956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82</xdr:row>
      <xdr:rowOff>152400</xdr:rowOff>
    </xdr:from>
    <xdr:to>
      <xdr:col>30</xdr:col>
      <xdr:colOff>62049</xdr:colOff>
      <xdr:row>82</xdr:row>
      <xdr:rowOff>152400</xdr:rowOff>
    </xdr:to>
    <xdr:cxnSp macro="">
      <xdr:nvCxnSpPr>
        <xdr:cNvPr id="29" name="직선 화살표 연결선 28">
          <a:extLst>
            <a:ext uri="{FF2B5EF4-FFF2-40B4-BE49-F238E27FC236}">
              <a16:creationId xmlns:a16="http://schemas.microsoft.com/office/drawing/2014/main" id="{404F074D-E428-48C8-870C-AA772B08D098}"/>
            </a:ext>
          </a:extLst>
        </xdr:cNvPr>
        <xdr:cNvCxnSpPr/>
      </xdr:nvCxnSpPr>
      <xdr:spPr>
        <a:xfrm>
          <a:off x="8611688" y="14173200"/>
          <a:ext cx="289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81</xdr:row>
      <xdr:rowOff>99059</xdr:rowOff>
    </xdr:from>
    <xdr:to>
      <xdr:col>30</xdr:col>
      <xdr:colOff>82731</xdr:colOff>
      <xdr:row>82</xdr:row>
      <xdr:rowOff>41909</xdr:rowOff>
    </xdr:to>
    <xdr:sp macro="" textlink="">
      <xdr:nvSpPr>
        <xdr:cNvPr id="30" name="직사각형 29">
          <a:extLst>
            <a:ext uri="{FF2B5EF4-FFF2-40B4-BE49-F238E27FC236}">
              <a16:creationId xmlns:a16="http://schemas.microsoft.com/office/drawing/2014/main" id="{FD8F11AB-3573-4ACB-BF8A-885877A0A8C4}"/>
            </a:ext>
          </a:extLst>
        </xdr:cNvPr>
        <xdr:cNvSpPr/>
      </xdr:nvSpPr>
      <xdr:spPr>
        <a:xfrm>
          <a:off x="8611688" y="13948409"/>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81</xdr:row>
      <xdr:rowOff>156209</xdr:rowOff>
    </xdr:from>
    <xdr:to>
      <xdr:col>30</xdr:col>
      <xdr:colOff>82731</xdr:colOff>
      <xdr:row>81</xdr:row>
      <xdr:rowOff>156209</xdr:rowOff>
    </xdr:to>
    <xdr:cxnSp macro="">
      <xdr:nvCxnSpPr>
        <xdr:cNvPr id="31" name="직선 화살표 연결선 30">
          <a:extLst>
            <a:ext uri="{FF2B5EF4-FFF2-40B4-BE49-F238E27FC236}">
              <a16:creationId xmlns:a16="http://schemas.microsoft.com/office/drawing/2014/main" id="{D8C96B93-73EA-4391-B46C-27270B221B4F}"/>
            </a:ext>
          </a:extLst>
        </xdr:cNvPr>
        <xdr:cNvCxnSpPr/>
      </xdr:nvCxnSpPr>
      <xdr:spPr>
        <a:xfrm>
          <a:off x="8611688" y="14005559"/>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80</xdr:row>
      <xdr:rowOff>102870</xdr:rowOff>
    </xdr:from>
    <xdr:to>
      <xdr:col>50</xdr:col>
      <xdr:colOff>120831</xdr:colOff>
      <xdr:row>81</xdr:row>
      <xdr:rowOff>45720</xdr:rowOff>
    </xdr:to>
    <xdr:sp macro="" textlink="">
      <xdr:nvSpPr>
        <xdr:cNvPr id="28000" name="직사각형 27999">
          <a:extLst>
            <a:ext uri="{FF2B5EF4-FFF2-40B4-BE49-F238E27FC236}">
              <a16:creationId xmlns:a16="http://schemas.microsoft.com/office/drawing/2014/main" id="{9863ECE1-CA97-4CBA-BFD9-6666389391EA}"/>
            </a:ext>
          </a:extLst>
        </xdr:cNvPr>
        <xdr:cNvSpPr/>
      </xdr:nvSpPr>
      <xdr:spPr>
        <a:xfrm>
          <a:off x="8611688" y="13780770"/>
          <a:ext cx="32058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80</xdr:row>
      <xdr:rowOff>160020</xdr:rowOff>
    </xdr:from>
    <xdr:to>
      <xdr:col>35</xdr:col>
      <xdr:colOff>126728</xdr:colOff>
      <xdr:row>80</xdr:row>
      <xdr:rowOff>160020</xdr:rowOff>
    </xdr:to>
    <xdr:cxnSp macro="">
      <xdr:nvCxnSpPr>
        <xdr:cNvPr id="28001" name="직선 화살표 연결선 28000">
          <a:extLst>
            <a:ext uri="{FF2B5EF4-FFF2-40B4-BE49-F238E27FC236}">
              <a16:creationId xmlns:a16="http://schemas.microsoft.com/office/drawing/2014/main" id="{8AEF4264-06EA-4378-8207-7D08E40FD035}"/>
            </a:ext>
          </a:extLst>
        </xdr:cNvPr>
        <xdr:cNvCxnSpPr/>
      </xdr:nvCxnSpPr>
      <xdr:spPr>
        <a:xfrm>
          <a:off x="8611688" y="13837920"/>
          <a:ext cx="10686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30480</xdr:colOff>
      <xdr:row>78</xdr:row>
      <xdr:rowOff>110489</xdr:rowOff>
    </xdr:from>
    <xdr:to>
      <xdr:col>50</xdr:col>
      <xdr:colOff>100149</xdr:colOff>
      <xdr:row>79</xdr:row>
      <xdr:rowOff>53339</xdr:rowOff>
    </xdr:to>
    <xdr:sp macro="" textlink="">
      <xdr:nvSpPr>
        <xdr:cNvPr id="28002" name="직사각형 28001">
          <a:extLst>
            <a:ext uri="{FF2B5EF4-FFF2-40B4-BE49-F238E27FC236}">
              <a16:creationId xmlns:a16="http://schemas.microsoft.com/office/drawing/2014/main" id="{192907EB-EC30-4721-9FA1-0017ED12255F}"/>
            </a:ext>
          </a:extLst>
        </xdr:cNvPr>
        <xdr:cNvSpPr/>
      </xdr:nvSpPr>
      <xdr:spPr>
        <a:xfrm>
          <a:off x="11155680" y="13445489"/>
          <a:ext cx="6411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30480</xdr:colOff>
      <xdr:row>78</xdr:row>
      <xdr:rowOff>167639</xdr:rowOff>
    </xdr:from>
    <xdr:to>
      <xdr:col>46</xdr:col>
      <xdr:colOff>30480</xdr:colOff>
      <xdr:row>78</xdr:row>
      <xdr:rowOff>167639</xdr:rowOff>
    </xdr:to>
    <xdr:cxnSp macro="">
      <xdr:nvCxnSpPr>
        <xdr:cNvPr id="28003" name="직선 화살표 연결선 28002">
          <a:extLst>
            <a:ext uri="{FF2B5EF4-FFF2-40B4-BE49-F238E27FC236}">
              <a16:creationId xmlns:a16="http://schemas.microsoft.com/office/drawing/2014/main" id="{33411DE0-7342-431D-BAC6-20B49EEFE0F2}"/>
            </a:ext>
          </a:extLst>
        </xdr:cNvPr>
        <xdr:cNvCxnSpPr/>
      </xdr:nvCxnSpPr>
      <xdr:spPr>
        <a:xfrm>
          <a:off x="11155680" y="135026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4082</xdr:colOff>
      <xdr:row>77</xdr:row>
      <xdr:rowOff>114300</xdr:rowOff>
    </xdr:from>
    <xdr:to>
      <xdr:col>43</xdr:col>
      <xdr:colOff>45448</xdr:colOff>
      <xdr:row>78</xdr:row>
      <xdr:rowOff>57150</xdr:rowOff>
    </xdr:to>
    <xdr:sp macro="" textlink="">
      <xdr:nvSpPr>
        <xdr:cNvPr id="28004" name="직사각형 28003">
          <a:extLst>
            <a:ext uri="{FF2B5EF4-FFF2-40B4-BE49-F238E27FC236}">
              <a16:creationId xmlns:a16="http://schemas.microsoft.com/office/drawing/2014/main" id="{8AC964B6-A2D1-41F7-953E-E94066BE3DE1}"/>
            </a:ext>
          </a:extLst>
        </xdr:cNvPr>
        <xdr:cNvSpPr/>
      </xdr:nvSpPr>
      <xdr:spPr>
        <a:xfrm>
          <a:off x="10700657" y="132778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4082</xdr:colOff>
      <xdr:row>78</xdr:row>
      <xdr:rowOff>0</xdr:rowOff>
    </xdr:from>
    <xdr:to>
      <xdr:col>43</xdr:col>
      <xdr:colOff>4082</xdr:colOff>
      <xdr:row>78</xdr:row>
      <xdr:rowOff>0</xdr:rowOff>
    </xdr:to>
    <xdr:cxnSp macro="">
      <xdr:nvCxnSpPr>
        <xdr:cNvPr id="28005" name="직선 화살표 연결선 28004">
          <a:extLst>
            <a:ext uri="{FF2B5EF4-FFF2-40B4-BE49-F238E27FC236}">
              <a16:creationId xmlns:a16="http://schemas.microsoft.com/office/drawing/2014/main" id="{112EBBC8-2728-44F0-ABAE-1050D5348DDB}"/>
            </a:ext>
          </a:extLst>
        </xdr:cNvPr>
        <xdr:cNvCxnSpPr/>
      </xdr:nvCxnSpPr>
      <xdr:spPr>
        <a:xfrm>
          <a:off x="10700657" y="13335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84909</xdr:colOff>
      <xdr:row>76</xdr:row>
      <xdr:rowOff>118109</xdr:rowOff>
    </xdr:from>
    <xdr:to>
      <xdr:col>43</xdr:col>
      <xdr:colOff>4082</xdr:colOff>
      <xdr:row>77</xdr:row>
      <xdr:rowOff>60959</xdr:rowOff>
    </xdr:to>
    <xdr:sp macro="" textlink="">
      <xdr:nvSpPr>
        <xdr:cNvPr id="28006" name="직사각형 28005">
          <a:extLst>
            <a:ext uri="{FF2B5EF4-FFF2-40B4-BE49-F238E27FC236}">
              <a16:creationId xmlns:a16="http://schemas.microsoft.com/office/drawing/2014/main" id="{FD3963A4-E708-41E2-B190-CF5A7FEC6D4A}"/>
            </a:ext>
          </a:extLst>
        </xdr:cNvPr>
        <xdr:cNvSpPr/>
      </xdr:nvSpPr>
      <xdr:spPr>
        <a:xfrm>
          <a:off x="10638609" y="13110209"/>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84909</xdr:colOff>
      <xdr:row>77</xdr:row>
      <xdr:rowOff>3809</xdr:rowOff>
    </xdr:from>
    <xdr:to>
      <xdr:col>42</xdr:col>
      <xdr:colOff>84909</xdr:colOff>
      <xdr:row>77</xdr:row>
      <xdr:rowOff>3809</xdr:rowOff>
    </xdr:to>
    <xdr:cxnSp macro="">
      <xdr:nvCxnSpPr>
        <xdr:cNvPr id="28007" name="직선 화살표 연결선 28006">
          <a:extLst>
            <a:ext uri="{FF2B5EF4-FFF2-40B4-BE49-F238E27FC236}">
              <a16:creationId xmlns:a16="http://schemas.microsoft.com/office/drawing/2014/main" id="{DACAD133-1906-4FD2-BC53-F07A3C68FDCE}"/>
            </a:ext>
          </a:extLst>
        </xdr:cNvPr>
        <xdr:cNvCxnSpPr/>
      </xdr:nvCxnSpPr>
      <xdr:spPr>
        <a:xfrm>
          <a:off x="10638609" y="1316735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43543</xdr:colOff>
      <xdr:row>75</xdr:row>
      <xdr:rowOff>121920</xdr:rowOff>
    </xdr:from>
    <xdr:to>
      <xdr:col>42</xdr:col>
      <xdr:colOff>84909</xdr:colOff>
      <xdr:row>76</xdr:row>
      <xdr:rowOff>64770</xdr:rowOff>
    </xdr:to>
    <xdr:sp macro="" textlink="">
      <xdr:nvSpPr>
        <xdr:cNvPr id="28008" name="직사각형 28007">
          <a:extLst>
            <a:ext uri="{FF2B5EF4-FFF2-40B4-BE49-F238E27FC236}">
              <a16:creationId xmlns:a16="http://schemas.microsoft.com/office/drawing/2014/main" id="{C905A87B-98D7-4A6A-8746-40E63D40232A}"/>
            </a:ext>
          </a:extLst>
        </xdr:cNvPr>
        <xdr:cNvSpPr/>
      </xdr:nvSpPr>
      <xdr:spPr>
        <a:xfrm>
          <a:off x="10597243" y="1294257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43543</xdr:colOff>
      <xdr:row>76</xdr:row>
      <xdr:rowOff>7620</xdr:rowOff>
    </xdr:from>
    <xdr:to>
      <xdr:col>42</xdr:col>
      <xdr:colOff>43543</xdr:colOff>
      <xdr:row>76</xdr:row>
      <xdr:rowOff>7620</xdr:rowOff>
    </xdr:to>
    <xdr:cxnSp macro="">
      <xdr:nvCxnSpPr>
        <xdr:cNvPr id="28009" name="직선 화살표 연결선 28008">
          <a:extLst>
            <a:ext uri="{FF2B5EF4-FFF2-40B4-BE49-F238E27FC236}">
              <a16:creationId xmlns:a16="http://schemas.microsoft.com/office/drawing/2014/main" id="{326A36BA-7C6B-4030-BB6E-3E4F44A0D0A7}"/>
            </a:ext>
          </a:extLst>
        </xdr:cNvPr>
        <xdr:cNvCxnSpPr/>
      </xdr:nvCxnSpPr>
      <xdr:spPr>
        <a:xfrm>
          <a:off x="10597243" y="12999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124369</xdr:colOff>
      <xdr:row>74</xdr:row>
      <xdr:rowOff>125730</xdr:rowOff>
    </xdr:from>
    <xdr:to>
      <xdr:col>42</xdr:col>
      <xdr:colOff>43543</xdr:colOff>
      <xdr:row>75</xdr:row>
      <xdr:rowOff>68580</xdr:rowOff>
    </xdr:to>
    <xdr:sp macro="" textlink="">
      <xdr:nvSpPr>
        <xdr:cNvPr id="28010" name="직사각형 28009">
          <a:extLst>
            <a:ext uri="{FF2B5EF4-FFF2-40B4-BE49-F238E27FC236}">
              <a16:creationId xmlns:a16="http://schemas.microsoft.com/office/drawing/2014/main" id="{C249C2E6-635A-4E96-A6DB-6673FD7D6022}"/>
            </a:ext>
          </a:extLst>
        </xdr:cNvPr>
        <xdr:cNvSpPr/>
      </xdr:nvSpPr>
      <xdr:spPr>
        <a:xfrm>
          <a:off x="10535194" y="127749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124369</xdr:colOff>
      <xdr:row>75</xdr:row>
      <xdr:rowOff>11430</xdr:rowOff>
    </xdr:from>
    <xdr:to>
      <xdr:col>41</xdr:col>
      <xdr:colOff>124369</xdr:colOff>
      <xdr:row>75</xdr:row>
      <xdr:rowOff>11430</xdr:rowOff>
    </xdr:to>
    <xdr:cxnSp macro="">
      <xdr:nvCxnSpPr>
        <xdr:cNvPr id="28011" name="직선 화살표 연결선 28010">
          <a:extLst>
            <a:ext uri="{FF2B5EF4-FFF2-40B4-BE49-F238E27FC236}">
              <a16:creationId xmlns:a16="http://schemas.microsoft.com/office/drawing/2014/main" id="{211D9205-BCF1-41FC-83EA-124AF2A51593}"/>
            </a:ext>
          </a:extLst>
        </xdr:cNvPr>
        <xdr:cNvCxnSpPr/>
      </xdr:nvCxnSpPr>
      <xdr:spPr>
        <a:xfrm>
          <a:off x="10535194" y="12832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83003</xdr:colOff>
      <xdr:row>73</xdr:row>
      <xdr:rowOff>129539</xdr:rowOff>
    </xdr:from>
    <xdr:to>
      <xdr:col>41</xdr:col>
      <xdr:colOff>124369</xdr:colOff>
      <xdr:row>74</xdr:row>
      <xdr:rowOff>72389</xdr:rowOff>
    </xdr:to>
    <xdr:sp macro="" textlink="">
      <xdr:nvSpPr>
        <xdr:cNvPr id="28012" name="직사각형 28011">
          <a:extLst>
            <a:ext uri="{FF2B5EF4-FFF2-40B4-BE49-F238E27FC236}">
              <a16:creationId xmlns:a16="http://schemas.microsoft.com/office/drawing/2014/main" id="{D939508E-84C3-4D7A-AEE3-0CE40A7A58C5}"/>
            </a:ext>
          </a:extLst>
        </xdr:cNvPr>
        <xdr:cNvSpPr/>
      </xdr:nvSpPr>
      <xdr:spPr>
        <a:xfrm>
          <a:off x="10493828" y="12607289"/>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83003</xdr:colOff>
      <xdr:row>74</xdr:row>
      <xdr:rowOff>15239</xdr:rowOff>
    </xdr:from>
    <xdr:to>
      <xdr:col>41</xdr:col>
      <xdr:colOff>83003</xdr:colOff>
      <xdr:row>74</xdr:row>
      <xdr:rowOff>15239</xdr:rowOff>
    </xdr:to>
    <xdr:cxnSp macro="">
      <xdr:nvCxnSpPr>
        <xdr:cNvPr id="28013" name="직선 화살표 연결선 28012">
          <a:extLst>
            <a:ext uri="{FF2B5EF4-FFF2-40B4-BE49-F238E27FC236}">
              <a16:creationId xmlns:a16="http://schemas.microsoft.com/office/drawing/2014/main" id="{68EAF615-484F-440E-A923-28F42EA96CE5}"/>
            </a:ext>
          </a:extLst>
        </xdr:cNvPr>
        <xdr:cNvCxnSpPr/>
      </xdr:nvCxnSpPr>
      <xdr:spPr>
        <a:xfrm>
          <a:off x="10493828" y="126644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72</xdr:row>
      <xdr:rowOff>133350</xdr:rowOff>
    </xdr:from>
    <xdr:to>
      <xdr:col>41</xdr:col>
      <xdr:colOff>83003</xdr:colOff>
      <xdr:row>73</xdr:row>
      <xdr:rowOff>76200</xdr:rowOff>
    </xdr:to>
    <xdr:sp macro="" textlink="">
      <xdr:nvSpPr>
        <xdr:cNvPr id="28014" name="직사각형 28013">
          <a:extLst>
            <a:ext uri="{FF2B5EF4-FFF2-40B4-BE49-F238E27FC236}">
              <a16:creationId xmlns:a16="http://schemas.microsoft.com/office/drawing/2014/main" id="{40AC161C-F577-4EEF-9CBF-4F9252EB66A3}"/>
            </a:ext>
          </a:extLst>
        </xdr:cNvPr>
        <xdr:cNvSpPr/>
      </xdr:nvSpPr>
      <xdr:spPr>
        <a:xfrm>
          <a:off x="10452463" y="1243965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73</xdr:row>
      <xdr:rowOff>19050</xdr:rowOff>
    </xdr:from>
    <xdr:to>
      <xdr:col>41</xdr:col>
      <xdr:colOff>41638</xdr:colOff>
      <xdr:row>73</xdr:row>
      <xdr:rowOff>19050</xdr:rowOff>
    </xdr:to>
    <xdr:cxnSp macro="">
      <xdr:nvCxnSpPr>
        <xdr:cNvPr id="28015" name="직선 화살표 연결선 28014">
          <a:extLst>
            <a:ext uri="{FF2B5EF4-FFF2-40B4-BE49-F238E27FC236}">
              <a16:creationId xmlns:a16="http://schemas.microsoft.com/office/drawing/2014/main" id="{0CEEA0FE-C9CE-4E40-BF24-8CEAA112044F}"/>
            </a:ext>
          </a:extLst>
        </xdr:cNvPr>
        <xdr:cNvCxnSpPr/>
      </xdr:nvCxnSpPr>
      <xdr:spPr>
        <a:xfrm>
          <a:off x="10452463" y="12496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71</xdr:row>
      <xdr:rowOff>137160</xdr:rowOff>
    </xdr:from>
    <xdr:to>
      <xdr:col>43</xdr:col>
      <xdr:colOff>45448</xdr:colOff>
      <xdr:row>72</xdr:row>
      <xdr:rowOff>80010</xdr:rowOff>
    </xdr:to>
    <xdr:sp macro="" textlink="">
      <xdr:nvSpPr>
        <xdr:cNvPr id="28016" name="직사각형 28015">
          <a:extLst>
            <a:ext uri="{FF2B5EF4-FFF2-40B4-BE49-F238E27FC236}">
              <a16:creationId xmlns:a16="http://schemas.microsoft.com/office/drawing/2014/main" id="{31A3FF1D-CDD4-48D7-81B6-61282B6245D2}"/>
            </a:ext>
          </a:extLst>
        </xdr:cNvPr>
        <xdr:cNvSpPr/>
      </xdr:nvSpPr>
      <xdr:spPr>
        <a:xfrm>
          <a:off x="10452463" y="12272010"/>
          <a:ext cx="2895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72</xdr:row>
      <xdr:rowOff>22860</xdr:rowOff>
    </xdr:from>
    <xdr:to>
      <xdr:col>41</xdr:col>
      <xdr:colOff>41638</xdr:colOff>
      <xdr:row>72</xdr:row>
      <xdr:rowOff>22860</xdr:rowOff>
    </xdr:to>
    <xdr:cxnSp macro="">
      <xdr:nvCxnSpPr>
        <xdr:cNvPr id="28017" name="직선 화살표 연결선 28016">
          <a:extLst>
            <a:ext uri="{FF2B5EF4-FFF2-40B4-BE49-F238E27FC236}">
              <a16:creationId xmlns:a16="http://schemas.microsoft.com/office/drawing/2014/main" id="{2551E904-E9F6-491C-A593-0CB19AB38231}"/>
            </a:ext>
          </a:extLst>
        </xdr:cNvPr>
        <xdr:cNvCxnSpPr/>
      </xdr:nvCxnSpPr>
      <xdr:spPr>
        <a:xfrm>
          <a:off x="10452463" y="123291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39733</xdr:colOff>
      <xdr:row>70</xdr:row>
      <xdr:rowOff>140970</xdr:rowOff>
    </xdr:from>
    <xdr:to>
      <xdr:col>42</xdr:col>
      <xdr:colOff>64226</xdr:colOff>
      <xdr:row>71</xdr:row>
      <xdr:rowOff>83820</xdr:rowOff>
    </xdr:to>
    <xdr:sp macro="" textlink="">
      <xdr:nvSpPr>
        <xdr:cNvPr id="28018" name="직사각형 28017">
          <a:extLst>
            <a:ext uri="{FF2B5EF4-FFF2-40B4-BE49-F238E27FC236}">
              <a16:creationId xmlns:a16="http://schemas.microsoft.com/office/drawing/2014/main" id="{AB9BE867-DCCD-4998-8088-64FD5FCFA9DA}"/>
            </a:ext>
          </a:extLst>
        </xdr:cNvPr>
        <xdr:cNvSpPr/>
      </xdr:nvSpPr>
      <xdr:spPr>
        <a:xfrm>
          <a:off x="10307683" y="12104370"/>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39733</xdr:colOff>
      <xdr:row>71</xdr:row>
      <xdr:rowOff>26670</xdr:rowOff>
    </xdr:from>
    <xdr:to>
      <xdr:col>40</xdr:col>
      <xdr:colOff>39733</xdr:colOff>
      <xdr:row>71</xdr:row>
      <xdr:rowOff>26670</xdr:rowOff>
    </xdr:to>
    <xdr:cxnSp macro="">
      <xdr:nvCxnSpPr>
        <xdr:cNvPr id="28019" name="직선 화살표 연결선 28018">
          <a:extLst>
            <a:ext uri="{FF2B5EF4-FFF2-40B4-BE49-F238E27FC236}">
              <a16:creationId xmlns:a16="http://schemas.microsoft.com/office/drawing/2014/main" id="{DEFEF4C5-6F23-4841-8275-88FAFE5AC41D}"/>
            </a:ext>
          </a:extLst>
        </xdr:cNvPr>
        <xdr:cNvCxnSpPr/>
      </xdr:nvCxnSpPr>
      <xdr:spPr>
        <a:xfrm>
          <a:off x="10307683" y="121615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39733</xdr:colOff>
      <xdr:row>69</xdr:row>
      <xdr:rowOff>144780</xdr:rowOff>
    </xdr:from>
    <xdr:to>
      <xdr:col>42</xdr:col>
      <xdr:colOff>64226</xdr:colOff>
      <xdr:row>70</xdr:row>
      <xdr:rowOff>87630</xdr:rowOff>
    </xdr:to>
    <xdr:sp macro="" textlink="">
      <xdr:nvSpPr>
        <xdr:cNvPr id="28020" name="직사각형 28019">
          <a:extLst>
            <a:ext uri="{FF2B5EF4-FFF2-40B4-BE49-F238E27FC236}">
              <a16:creationId xmlns:a16="http://schemas.microsoft.com/office/drawing/2014/main" id="{F49BB0AE-AEEA-4A91-BF3D-3AC3C869555D}"/>
            </a:ext>
          </a:extLst>
        </xdr:cNvPr>
        <xdr:cNvSpPr/>
      </xdr:nvSpPr>
      <xdr:spPr>
        <a:xfrm>
          <a:off x="10307683" y="1193673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39733</xdr:colOff>
      <xdr:row>70</xdr:row>
      <xdr:rowOff>30480</xdr:rowOff>
    </xdr:from>
    <xdr:to>
      <xdr:col>40</xdr:col>
      <xdr:colOff>39733</xdr:colOff>
      <xdr:row>70</xdr:row>
      <xdr:rowOff>30480</xdr:rowOff>
    </xdr:to>
    <xdr:cxnSp macro="">
      <xdr:nvCxnSpPr>
        <xdr:cNvPr id="28021" name="직선 화살표 연결선 28020">
          <a:extLst>
            <a:ext uri="{FF2B5EF4-FFF2-40B4-BE49-F238E27FC236}">
              <a16:creationId xmlns:a16="http://schemas.microsoft.com/office/drawing/2014/main" id="{3EBCF75F-2170-4A9A-A342-946B7679DE21}"/>
            </a:ext>
          </a:extLst>
        </xdr:cNvPr>
        <xdr:cNvCxnSpPr/>
      </xdr:nvCxnSpPr>
      <xdr:spPr>
        <a:xfrm>
          <a:off x="10307683" y="11993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64226</xdr:colOff>
      <xdr:row>68</xdr:row>
      <xdr:rowOff>148589</xdr:rowOff>
    </xdr:from>
    <xdr:to>
      <xdr:col>43</xdr:col>
      <xdr:colOff>4082</xdr:colOff>
      <xdr:row>69</xdr:row>
      <xdr:rowOff>91439</xdr:rowOff>
    </xdr:to>
    <xdr:sp macro="" textlink="">
      <xdr:nvSpPr>
        <xdr:cNvPr id="28206" name="직사각형 28205">
          <a:extLst>
            <a:ext uri="{FF2B5EF4-FFF2-40B4-BE49-F238E27FC236}">
              <a16:creationId xmlns:a16="http://schemas.microsoft.com/office/drawing/2014/main" id="{2C0856B9-684A-42BF-A9A9-BE3F3F1DC974}"/>
            </a:ext>
          </a:extLst>
        </xdr:cNvPr>
        <xdr:cNvSpPr/>
      </xdr:nvSpPr>
      <xdr:spPr>
        <a:xfrm>
          <a:off x="10617926" y="11769089"/>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64226</xdr:colOff>
      <xdr:row>69</xdr:row>
      <xdr:rowOff>34289</xdr:rowOff>
    </xdr:from>
    <xdr:to>
      <xdr:col>42</xdr:col>
      <xdr:colOff>64226</xdr:colOff>
      <xdr:row>69</xdr:row>
      <xdr:rowOff>34289</xdr:rowOff>
    </xdr:to>
    <xdr:cxnSp macro="">
      <xdr:nvCxnSpPr>
        <xdr:cNvPr id="28207" name="직선 화살표 연결선 28206">
          <a:extLst>
            <a:ext uri="{FF2B5EF4-FFF2-40B4-BE49-F238E27FC236}">
              <a16:creationId xmlns:a16="http://schemas.microsoft.com/office/drawing/2014/main" id="{ED3F5D29-2297-42ED-9009-DBDC181D49D9}"/>
            </a:ext>
          </a:extLst>
        </xdr:cNvPr>
        <xdr:cNvCxnSpPr/>
      </xdr:nvCxnSpPr>
      <xdr:spPr>
        <a:xfrm>
          <a:off x="10617926" y="118262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124369</xdr:colOff>
      <xdr:row>67</xdr:row>
      <xdr:rowOff>152400</xdr:rowOff>
    </xdr:from>
    <xdr:to>
      <xdr:col>42</xdr:col>
      <xdr:colOff>84909</xdr:colOff>
      <xdr:row>68</xdr:row>
      <xdr:rowOff>95250</xdr:rowOff>
    </xdr:to>
    <xdr:sp macro="" textlink="">
      <xdr:nvSpPr>
        <xdr:cNvPr id="28208" name="직사각형 28207">
          <a:extLst>
            <a:ext uri="{FF2B5EF4-FFF2-40B4-BE49-F238E27FC236}">
              <a16:creationId xmlns:a16="http://schemas.microsoft.com/office/drawing/2014/main" id="{7819BE9A-696E-4C68-BF68-A59D4FB19F9D}"/>
            </a:ext>
          </a:extLst>
        </xdr:cNvPr>
        <xdr:cNvSpPr/>
      </xdr:nvSpPr>
      <xdr:spPr>
        <a:xfrm>
          <a:off x="10535194" y="1160145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124369</xdr:colOff>
      <xdr:row>68</xdr:row>
      <xdr:rowOff>38100</xdr:rowOff>
    </xdr:from>
    <xdr:to>
      <xdr:col>41</xdr:col>
      <xdr:colOff>124369</xdr:colOff>
      <xdr:row>68</xdr:row>
      <xdr:rowOff>38100</xdr:rowOff>
    </xdr:to>
    <xdr:cxnSp macro="">
      <xdr:nvCxnSpPr>
        <xdr:cNvPr id="28209" name="직선 화살표 연결선 28208">
          <a:extLst>
            <a:ext uri="{FF2B5EF4-FFF2-40B4-BE49-F238E27FC236}">
              <a16:creationId xmlns:a16="http://schemas.microsoft.com/office/drawing/2014/main" id="{C5CA8487-E2FC-43BC-BD7A-F4D31DE01BE1}"/>
            </a:ext>
          </a:extLst>
        </xdr:cNvPr>
        <xdr:cNvCxnSpPr/>
      </xdr:nvCxnSpPr>
      <xdr:spPr>
        <a:xfrm>
          <a:off x="10535194" y="1165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62321</xdr:colOff>
      <xdr:row>66</xdr:row>
      <xdr:rowOff>156210</xdr:rowOff>
    </xdr:from>
    <xdr:to>
      <xdr:col>42</xdr:col>
      <xdr:colOff>2177</xdr:colOff>
      <xdr:row>67</xdr:row>
      <xdr:rowOff>99060</xdr:rowOff>
    </xdr:to>
    <xdr:sp macro="" textlink="">
      <xdr:nvSpPr>
        <xdr:cNvPr id="28210" name="직사각형 28209">
          <a:extLst>
            <a:ext uri="{FF2B5EF4-FFF2-40B4-BE49-F238E27FC236}">
              <a16:creationId xmlns:a16="http://schemas.microsoft.com/office/drawing/2014/main" id="{B994A16E-5119-4D9D-BA97-736B563DA707}"/>
            </a:ext>
          </a:extLst>
        </xdr:cNvPr>
        <xdr:cNvSpPr/>
      </xdr:nvSpPr>
      <xdr:spPr>
        <a:xfrm>
          <a:off x="10473146" y="1143381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62321</xdr:colOff>
      <xdr:row>67</xdr:row>
      <xdr:rowOff>41910</xdr:rowOff>
    </xdr:from>
    <xdr:to>
      <xdr:col>41</xdr:col>
      <xdr:colOff>62321</xdr:colOff>
      <xdr:row>67</xdr:row>
      <xdr:rowOff>41910</xdr:rowOff>
    </xdr:to>
    <xdr:cxnSp macro="">
      <xdr:nvCxnSpPr>
        <xdr:cNvPr id="28211" name="직선 화살표 연결선 28210">
          <a:extLst>
            <a:ext uri="{FF2B5EF4-FFF2-40B4-BE49-F238E27FC236}">
              <a16:creationId xmlns:a16="http://schemas.microsoft.com/office/drawing/2014/main" id="{7309789C-F44B-451E-93A6-5E8C168B3777}"/>
            </a:ext>
          </a:extLst>
        </xdr:cNvPr>
        <xdr:cNvCxnSpPr/>
      </xdr:nvCxnSpPr>
      <xdr:spPr>
        <a:xfrm>
          <a:off x="10473146" y="114909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62321</xdr:colOff>
      <xdr:row>65</xdr:row>
      <xdr:rowOff>160020</xdr:rowOff>
    </xdr:from>
    <xdr:to>
      <xdr:col>43</xdr:col>
      <xdr:colOff>4082</xdr:colOff>
      <xdr:row>66</xdr:row>
      <xdr:rowOff>102870</xdr:rowOff>
    </xdr:to>
    <xdr:sp macro="" textlink="">
      <xdr:nvSpPr>
        <xdr:cNvPr id="28212" name="직사각형 28211">
          <a:extLst>
            <a:ext uri="{FF2B5EF4-FFF2-40B4-BE49-F238E27FC236}">
              <a16:creationId xmlns:a16="http://schemas.microsoft.com/office/drawing/2014/main" id="{8A0FE2A3-1F8F-4360-ACA1-42DFDCFE64B5}"/>
            </a:ext>
          </a:extLst>
        </xdr:cNvPr>
        <xdr:cNvSpPr/>
      </xdr:nvSpPr>
      <xdr:spPr>
        <a:xfrm>
          <a:off x="10473146" y="1126617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62321</xdr:colOff>
      <xdr:row>66</xdr:row>
      <xdr:rowOff>45720</xdr:rowOff>
    </xdr:from>
    <xdr:to>
      <xdr:col>41</xdr:col>
      <xdr:colOff>62321</xdr:colOff>
      <xdr:row>66</xdr:row>
      <xdr:rowOff>45720</xdr:rowOff>
    </xdr:to>
    <xdr:cxnSp macro="">
      <xdr:nvCxnSpPr>
        <xdr:cNvPr id="28213" name="직선 화살표 연결선 28212">
          <a:extLst>
            <a:ext uri="{FF2B5EF4-FFF2-40B4-BE49-F238E27FC236}">
              <a16:creationId xmlns:a16="http://schemas.microsoft.com/office/drawing/2014/main" id="{FBCAC92B-C240-4263-858F-E8F6F0DCC931}"/>
            </a:ext>
          </a:extLst>
        </xdr:cNvPr>
        <xdr:cNvCxnSpPr/>
      </xdr:nvCxnSpPr>
      <xdr:spPr>
        <a:xfrm>
          <a:off x="10473146" y="11323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45448</xdr:colOff>
      <xdr:row>64</xdr:row>
      <xdr:rowOff>163830</xdr:rowOff>
    </xdr:from>
    <xdr:to>
      <xdr:col>43</xdr:col>
      <xdr:colOff>128179</xdr:colOff>
      <xdr:row>65</xdr:row>
      <xdr:rowOff>106680</xdr:rowOff>
    </xdr:to>
    <xdr:sp macro="" textlink="">
      <xdr:nvSpPr>
        <xdr:cNvPr id="28214" name="직사각형 28213">
          <a:extLst>
            <a:ext uri="{FF2B5EF4-FFF2-40B4-BE49-F238E27FC236}">
              <a16:creationId xmlns:a16="http://schemas.microsoft.com/office/drawing/2014/main" id="{D75F8CAE-C6A8-4D93-9BC5-B1A03916E743}"/>
            </a:ext>
          </a:extLst>
        </xdr:cNvPr>
        <xdr:cNvSpPr/>
      </xdr:nvSpPr>
      <xdr:spPr>
        <a:xfrm>
          <a:off x="10742023" y="110985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45448</xdr:colOff>
      <xdr:row>65</xdr:row>
      <xdr:rowOff>49530</xdr:rowOff>
    </xdr:from>
    <xdr:to>
      <xdr:col>43</xdr:col>
      <xdr:colOff>45448</xdr:colOff>
      <xdr:row>65</xdr:row>
      <xdr:rowOff>49530</xdr:rowOff>
    </xdr:to>
    <xdr:cxnSp macro="">
      <xdr:nvCxnSpPr>
        <xdr:cNvPr id="28215" name="직선 화살표 연결선 28214">
          <a:extLst>
            <a:ext uri="{FF2B5EF4-FFF2-40B4-BE49-F238E27FC236}">
              <a16:creationId xmlns:a16="http://schemas.microsoft.com/office/drawing/2014/main" id="{BC2A7593-9BE4-4746-9DF6-1D176D80FCC6}"/>
            </a:ext>
          </a:extLst>
        </xdr:cNvPr>
        <xdr:cNvCxnSpPr/>
      </xdr:nvCxnSpPr>
      <xdr:spPr>
        <a:xfrm>
          <a:off x="10742023" y="11155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84909</xdr:colOff>
      <xdr:row>63</xdr:row>
      <xdr:rowOff>167639</xdr:rowOff>
    </xdr:from>
    <xdr:to>
      <xdr:col>43</xdr:col>
      <xdr:colOff>4082</xdr:colOff>
      <xdr:row>64</xdr:row>
      <xdr:rowOff>110489</xdr:rowOff>
    </xdr:to>
    <xdr:sp macro="" textlink="">
      <xdr:nvSpPr>
        <xdr:cNvPr id="28216" name="직사각형 28215">
          <a:extLst>
            <a:ext uri="{FF2B5EF4-FFF2-40B4-BE49-F238E27FC236}">
              <a16:creationId xmlns:a16="http://schemas.microsoft.com/office/drawing/2014/main" id="{F2A73523-3C9F-4A9F-AE9C-ACC5801B07F0}"/>
            </a:ext>
          </a:extLst>
        </xdr:cNvPr>
        <xdr:cNvSpPr/>
      </xdr:nvSpPr>
      <xdr:spPr>
        <a:xfrm>
          <a:off x="10638609" y="10930889"/>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84909</xdr:colOff>
      <xdr:row>64</xdr:row>
      <xdr:rowOff>53339</xdr:rowOff>
    </xdr:from>
    <xdr:to>
      <xdr:col>42</xdr:col>
      <xdr:colOff>84909</xdr:colOff>
      <xdr:row>64</xdr:row>
      <xdr:rowOff>53339</xdr:rowOff>
    </xdr:to>
    <xdr:cxnSp macro="">
      <xdr:nvCxnSpPr>
        <xdr:cNvPr id="28217" name="직선 화살표 연결선 28216">
          <a:extLst>
            <a:ext uri="{FF2B5EF4-FFF2-40B4-BE49-F238E27FC236}">
              <a16:creationId xmlns:a16="http://schemas.microsoft.com/office/drawing/2014/main" id="{F0044553-2409-4B2D-9640-7627349A5CF0}"/>
            </a:ext>
          </a:extLst>
        </xdr:cNvPr>
        <xdr:cNvCxnSpPr/>
      </xdr:nvCxnSpPr>
      <xdr:spPr>
        <a:xfrm>
          <a:off x="10638609" y="109880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43543</xdr:colOff>
      <xdr:row>63</xdr:row>
      <xdr:rowOff>0</xdr:rowOff>
    </xdr:from>
    <xdr:to>
      <xdr:col>42</xdr:col>
      <xdr:colOff>84909</xdr:colOff>
      <xdr:row>63</xdr:row>
      <xdr:rowOff>114300</xdr:rowOff>
    </xdr:to>
    <xdr:sp macro="" textlink="">
      <xdr:nvSpPr>
        <xdr:cNvPr id="28218" name="직사각형 28217">
          <a:extLst>
            <a:ext uri="{FF2B5EF4-FFF2-40B4-BE49-F238E27FC236}">
              <a16:creationId xmlns:a16="http://schemas.microsoft.com/office/drawing/2014/main" id="{B79D11DF-D0C0-4BD1-BE72-A8582DEB574B}"/>
            </a:ext>
          </a:extLst>
        </xdr:cNvPr>
        <xdr:cNvSpPr/>
      </xdr:nvSpPr>
      <xdr:spPr>
        <a:xfrm>
          <a:off x="10597243" y="107632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43543</xdr:colOff>
      <xdr:row>63</xdr:row>
      <xdr:rowOff>57150</xdr:rowOff>
    </xdr:from>
    <xdr:to>
      <xdr:col>42</xdr:col>
      <xdr:colOff>43543</xdr:colOff>
      <xdr:row>63</xdr:row>
      <xdr:rowOff>57150</xdr:rowOff>
    </xdr:to>
    <xdr:cxnSp macro="">
      <xdr:nvCxnSpPr>
        <xdr:cNvPr id="28219" name="직선 화살표 연결선 28218">
          <a:extLst>
            <a:ext uri="{FF2B5EF4-FFF2-40B4-BE49-F238E27FC236}">
              <a16:creationId xmlns:a16="http://schemas.microsoft.com/office/drawing/2014/main" id="{13A8BBF7-9E58-4466-BFDC-B36FF26D1F70}"/>
            </a:ext>
          </a:extLst>
        </xdr:cNvPr>
        <xdr:cNvCxnSpPr/>
      </xdr:nvCxnSpPr>
      <xdr:spPr>
        <a:xfrm>
          <a:off x="10597243" y="10820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43543</xdr:colOff>
      <xdr:row>62</xdr:row>
      <xdr:rowOff>3810</xdr:rowOff>
    </xdr:from>
    <xdr:to>
      <xdr:col>43</xdr:col>
      <xdr:colOff>128179</xdr:colOff>
      <xdr:row>62</xdr:row>
      <xdr:rowOff>118110</xdr:rowOff>
    </xdr:to>
    <xdr:sp macro="" textlink="">
      <xdr:nvSpPr>
        <xdr:cNvPr id="28220" name="직사각형 28219">
          <a:extLst>
            <a:ext uri="{FF2B5EF4-FFF2-40B4-BE49-F238E27FC236}">
              <a16:creationId xmlns:a16="http://schemas.microsoft.com/office/drawing/2014/main" id="{CB4931E2-FA21-4821-A380-9658085DBD7E}"/>
            </a:ext>
          </a:extLst>
        </xdr:cNvPr>
        <xdr:cNvSpPr/>
      </xdr:nvSpPr>
      <xdr:spPr>
        <a:xfrm>
          <a:off x="10597243" y="1059561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43543</xdr:colOff>
      <xdr:row>62</xdr:row>
      <xdr:rowOff>60960</xdr:rowOff>
    </xdr:from>
    <xdr:to>
      <xdr:col>42</xdr:col>
      <xdr:colOff>43543</xdr:colOff>
      <xdr:row>62</xdr:row>
      <xdr:rowOff>60960</xdr:rowOff>
    </xdr:to>
    <xdr:cxnSp macro="">
      <xdr:nvCxnSpPr>
        <xdr:cNvPr id="28221" name="직선 화살표 연결선 28220">
          <a:extLst>
            <a:ext uri="{FF2B5EF4-FFF2-40B4-BE49-F238E27FC236}">
              <a16:creationId xmlns:a16="http://schemas.microsoft.com/office/drawing/2014/main" id="{083531EB-3D88-4BA2-BE12-12C02A5BB39A}"/>
            </a:ext>
          </a:extLst>
        </xdr:cNvPr>
        <xdr:cNvCxnSpPr/>
      </xdr:nvCxnSpPr>
      <xdr:spPr>
        <a:xfrm>
          <a:off x="10597243" y="10652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62321</xdr:colOff>
      <xdr:row>61</xdr:row>
      <xdr:rowOff>7620</xdr:rowOff>
    </xdr:from>
    <xdr:to>
      <xdr:col>43</xdr:col>
      <xdr:colOff>128179</xdr:colOff>
      <xdr:row>61</xdr:row>
      <xdr:rowOff>121920</xdr:rowOff>
    </xdr:to>
    <xdr:sp macro="" textlink="">
      <xdr:nvSpPr>
        <xdr:cNvPr id="28222" name="직사각형 28221">
          <a:extLst>
            <a:ext uri="{FF2B5EF4-FFF2-40B4-BE49-F238E27FC236}">
              <a16:creationId xmlns:a16="http://schemas.microsoft.com/office/drawing/2014/main" id="{79B9BE30-375F-4162-81A9-BB157D616380}"/>
            </a:ext>
          </a:extLst>
        </xdr:cNvPr>
        <xdr:cNvSpPr/>
      </xdr:nvSpPr>
      <xdr:spPr>
        <a:xfrm>
          <a:off x="10473146" y="10427970"/>
          <a:ext cx="3516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62321</xdr:colOff>
      <xdr:row>61</xdr:row>
      <xdr:rowOff>64770</xdr:rowOff>
    </xdr:from>
    <xdr:to>
      <xdr:col>41</xdr:col>
      <xdr:colOff>62321</xdr:colOff>
      <xdr:row>61</xdr:row>
      <xdr:rowOff>64770</xdr:rowOff>
    </xdr:to>
    <xdr:cxnSp macro="">
      <xdr:nvCxnSpPr>
        <xdr:cNvPr id="28223" name="직선 화살표 연결선 28222">
          <a:extLst>
            <a:ext uri="{FF2B5EF4-FFF2-40B4-BE49-F238E27FC236}">
              <a16:creationId xmlns:a16="http://schemas.microsoft.com/office/drawing/2014/main" id="{7BEAB9FF-F9B6-402F-ACDA-C78EDE0B2CD7}"/>
            </a:ext>
          </a:extLst>
        </xdr:cNvPr>
        <xdr:cNvCxnSpPr/>
      </xdr:nvCxnSpPr>
      <xdr:spPr>
        <a:xfrm>
          <a:off x="10473146" y="10485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60</xdr:row>
      <xdr:rowOff>11430</xdr:rowOff>
    </xdr:from>
    <xdr:to>
      <xdr:col>41</xdr:col>
      <xdr:colOff>83003</xdr:colOff>
      <xdr:row>60</xdr:row>
      <xdr:rowOff>125730</xdr:rowOff>
    </xdr:to>
    <xdr:sp macro="" textlink="">
      <xdr:nvSpPr>
        <xdr:cNvPr id="28224" name="직사각형 28223">
          <a:extLst>
            <a:ext uri="{FF2B5EF4-FFF2-40B4-BE49-F238E27FC236}">
              <a16:creationId xmlns:a16="http://schemas.microsoft.com/office/drawing/2014/main" id="{9A9E1D92-BC67-47BE-9710-C395374D9B76}"/>
            </a:ext>
          </a:extLst>
        </xdr:cNvPr>
        <xdr:cNvSpPr/>
      </xdr:nvSpPr>
      <xdr:spPr>
        <a:xfrm>
          <a:off x="10452463" y="102603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60</xdr:row>
      <xdr:rowOff>68580</xdr:rowOff>
    </xdr:from>
    <xdr:to>
      <xdr:col>41</xdr:col>
      <xdr:colOff>41638</xdr:colOff>
      <xdr:row>60</xdr:row>
      <xdr:rowOff>68580</xdr:rowOff>
    </xdr:to>
    <xdr:cxnSp macro="">
      <xdr:nvCxnSpPr>
        <xdr:cNvPr id="28225" name="직선 화살표 연결선 28224">
          <a:extLst>
            <a:ext uri="{FF2B5EF4-FFF2-40B4-BE49-F238E27FC236}">
              <a16:creationId xmlns:a16="http://schemas.microsoft.com/office/drawing/2014/main" id="{3639C7DF-4F73-4FB6-8B0F-08CA073A3F1E}"/>
            </a:ext>
          </a:extLst>
        </xdr:cNvPr>
        <xdr:cNvCxnSpPr/>
      </xdr:nvCxnSpPr>
      <xdr:spPr>
        <a:xfrm>
          <a:off x="10452463" y="103174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122465</xdr:colOff>
      <xdr:row>59</xdr:row>
      <xdr:rowOff>15239</xdr:rowOff>
    </xdr:from>
    <xdr:to>
      <xdr:col>41</xdr:col>
      <xdr:colOff>20955</xdr:colOff>
      <xdr:row>59</xdr:row>
      <xdr:rowOff>129539</xdr:rowOff>
    </xdr:to>
    <xdr:sp macro="" textlink="">
      <xdr:nvSpPr>
        <xdr:cNvPr id="28226" name="직사각형 28225">
          <a:extLst>
            <a:ext uri="{FF2B5EF4-FFF2-40B4-BE49-F238E27FC236}">
              <a16:creationId xmlns:a16="http://schemas.microsoft.com/office/drawing/2014/main" id="{6F70EDE1-0C66-47E3-92C6-940A8EA43FC6}"/>
            </a:ext>
          </a:extLst>
        </xdr:cNvPr>
        <xdr:cNvSpPr/>
      </xdr:nvSpPr>
      <xdr:spPr>
        <a:xfrm>
          <a:off x="10390415" y="1009268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122465</xdr:colOff>
      <xdr:row>59</xdr:row>
      <xdr:rowOff>72389</xdr:rowOff>
    </xdr:from>
    <xdr:to>
      <xdr:col>40</xdr:col>
      <xdr:colOff>122465</xdr:colOff>
      <xdr:row>59</xdr:row>
      <xdr:rowOff>72389</xdr:rowOff>
    </xdr:to>
    <xdr:cxnSp macro="">
      <xdr:nvCxnSpPr>
        <xdr:cNvPr id="28227" name="직선 화살표 연결선 28226">
          <a:extLst>
            <a:ext uri="{FF2B5EF4-FFF2-40B4-BE49-F238E27FC236}">
              <a16:creationId xmlns:a16="http://schemas.microsoft.com/office/drawing/2014/main" id="{C81DFDFE-5396-4AD0-952F-215C5112CBDA}"/>
            </a:ext>
          </a:extLst>
        </xdr:cNvPr>
        <xdr:cNvCxnSpPr/>
      </xdr:nvCxnSpPr>
      <xdr:spPr>
        <a:xfrm>
          <a:off x="10390415" y="101498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81099</xdr:colOff>
      <xdr:row>58</xdr:row>
      <xdr:rowOff>19050</xdr:rowOff>
    </xdr:from>
    <xdr:to>
      <xdr:col>40</xdr:col>
      <xdr:colOff>122465</xdr:colOff>
      <xdr:row>58</xdr:row>
      <xdr:rowOff>133350</xdr:rowOff>
    </xdr:to>
    <xdr:sp macro="" textlink="">
      <xdr:nvSpPr>
        <xdr:cNvPr id="28228" name="직사각형 28227">
          <a:extLst>
            <a:ext uri="{FF2B5EF4-FFF2-40B4-BE49-F238E27FC236}">
              <a16:creationId xmlns:a16="http://schemas.microsoft.com/office/drawing/2014/main" id="{2E756039-5BA2-4F4A-9222-0939D73782E8}"/>
            </a:ext>
          </a:extLst>
        </xdr:cNvPr>
        <xdr:cNvSpPr/>
      </xdr:nvSpPr>
      <xdr:spPr>
        <a:xfrm>
          <a:off x="10349049" y="99250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81099</xdr:colOff>
      <xdr:row>58</xdr:row>
      <xdr:rowOff>76200</xdr:rowOff>
    </xdr:from>
    <xdr:to>
      <xdr:col>40</xdr:col>
      <xdr:colOff>81099</xdr:colOff>
      <xdr:row>58</xdr:row>
      <xdr:rowOff>76200</xdr:rowOff>
    </xdr:to>
    <xdr:cxnSp macro="">
      <xdr:nvCxnSpPr>
        <xdr:cNvPr id="28229" name="직선 화살표 연결선 28228">
          <a:extLst>
            <a:ext uri="{FF2B5EF4-FFF2-40B4-BE49-F238E27FC236}">
              <a16:creationId xmlns:a16="http://schemas.microsoft.com/office/drawing/2014/main" id="{AD0C1EAF-8276-43B3-9DEC-67083ED3872B}"/>
            </a:ext>
          </a:extLst>
        </xdr:cNvPr>
        <xdr:cNvCxnSpPr/>
      </xdr:nvCxnSpPr>
      <xdr:spPr>
        <a:xfrm>
          <a:off x="10349049" y="9982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39733</xdr:colOff>
      <xdr:row>57</xdr:row>
      <xdr:rowOff>22860</xdr:rowOff>
    </xdr:from>
    <xdr:to>
      <xdr:col>40</xdr:col>
      <xdr:colOff>81099</xdr:colOff>
      <xdr:row>57</xdr:row>
      <xdr:rowOff>137160</xdr:rowOff>
    </xdr:to>
    <xdr:sp macro="" textlink="">
      <xdr:nvSpPr>
        <xdr:cNvPr id="28230" name="직사각형 28229">
          <a:extLst>
            <a:ext uri="{FF2B5EF4-FFF2-40B4-BE49-F238E27FC236}">
              <a16:creationId xmlns:a16="http://schemas.microsoft.com/office/drawing/2014/main" id="{7FEAA4E5-1822-4CC5-BE58-0CA5ABB5153B}"/>
            </a:ext>
          </a:extLst>
        </xdr:cNvPr>
        <xdr:cNvSpPr/>
      </xdr:nvSpPr>
      <xdr:spPr>
        <a:xfrm>
          <a:off x="10307683" y="975741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39733</xdr:colOff>
      <xdr:row>57</xdr:row>
      <xdr:rowOff>80010</xdr:rowOff>
    </xdr:from>
    <xdr:to>
      <xdr:col>40</xdr:col>
      <xdr:colOff>39733</xdr:colOff>
      <xdr:row>57</xdr:row>
      <xdr:rowOff>80010</xdr:rowOff>
    </xdr:to>
    <xdr:cxnSp macro="">
      <xdr:nvCxnSpPr>
        <xdr:cNvPr id="28231" name="직선 화살표 연결선 28230">
          <a:extLst>
            <a:ext uri="{FF2B5EF4-FFF2-40B4-BE49-F238E27FC236}">
              <a16:creationId xmlns:a16="http://schemas.microsoft.com/office/drawing/2014/main" id="{A3E60F75-0643-4A95-8475-F716F8764BE9}"/>
            </a:ext>
          </a:extLst>
        </xdr:cNvPr>
        <xdr:cNvCxnSpPr/>
      </xdr:nvCxnSpPr>
      <xdr:spPr>
        <a:xfrm>
          <a:off x="10307683" y="98145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39733</xdr:colOff>
      <xdr:row>56</xdr:row>
      <xdr:rowOff>26670</xdr:rowOff>
    </xdr:from>
    <xdr:to>
      <xdr:col>41</xdr:col>
      <xdr:colOff>83003</xdr:colOff>
      <xdr:row>56</xdr:row>
      <xdr:rowOff>140970</xdr:rowOff>
    </xdr:to>
    <xdr:sp macro="" textlink="">
      <xdr:nvSpPr>
        <xdr:cNvPr id="28232" name="직사각형 28231">
          <a:extLst>
            <a:ext uri="{FF2B5EF4-FFF2-40B4-BE49-F238E27FC236}">
              <a16:creationId xmlns:a16="http://schemas.microsoft.com/office/drawing/2014/main" id="{43DC7D40-2FAB-4391-B3C9-CD071305E1B4}"/>
            </a:ext>
          </a:extLst>
        </xdr:cNvPr>
        <xdr:cNvSpPr/>
      </xdr:nvSpPr>
      <xdr:spPr>
        <a:xfrm>
          <a:off x="10307683" y="9589770"/>
          <a:ext cx="186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39733</xdr:colOff>
      <xdr:row>56</xdr:row>
      <xdr:rowOff>83820</xdr:rowOff>
    </xdr:from>
    <xdr:to>
      <xdr:col>40</xdr:col>
      <xdr:colOff>39733</xdr:colOff>
      <xdr:row>56</xdr:row>
      <xdr:rowOff>83820</xdr:rowOff>
    </xdr:to>
    <xdr:cxnSp macro="">
      <xdr:nvCxnSpPr>
        <xdr:cNvPr id="28233" name="직선 화살표 연결선 28232">
          <a:extLst>
            <a:ext uri="{FF2B5EF4-FFF2-40B4-BE49-F238E27FC236}">
              <a16:creationId xmlns:a16="http://schemas.microsoft.com/office/drawing/2014/main" id="{CC8A73B5-5053-4D62-9EB3-2343273BC7E0}"/>
            </a:ext>
          </a:extLst>
        </xdr:cNvPr>
        <xdr:cNvCxnSpPr/>
      </xdr:nvCxnSpPr>
      <xdr:spPr>
        <a:xfrm>
          <a:off x="10307683" y="96469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62321</xdr:colOff>
      <xdr:row>55</xdr:row>
      <xdr:rowOff>30480</xdr:rowOff>
    </xdr:from>
    <xdr:to>
      <xdr:col>41</xdr:col>
      <xdr:colOff>103687</xdr:colOff>
      <xdr:row>55</xdr:row>
      <xdr:rowOff>144780</xdr:rowOff>
    </xdr:to>
    <xdr:sp macro="" textlink="">
      <xdr:nvSpPr>
        <xdr:cNvPr id="28234" name="직사각형 28233">
          <a:extLst>
            <a:ext uri="{FF2B5EF4-FFF2-40B4-BE49-F238E27FC236}">
              <a16:creationId xmlns:a16="http://schemas.microsoft.com/office/drawing/2014/main" id="{52868F40-4B8D-41CD-A5EB-4EAC656A71CF}"/>
            </a:ext>
          </a:extLst>
        </xdr:cNvPr>
        <xdr:cNvSpPr/>
      </xdr:nvSpPr>
      <xdr:spPr>
        <a:xfrm>
          <a:off x="10473146" y="94221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62321</xdr:colOff>
      <xdr:row>55</xdr:row>
      <xdr:rowOff>87630</xdr:rowOff>
    </xdr:from>
    <xdr:to>
      <xdr:col>41</xdr:col>
      <xdr:colOff>62321</xdr:colOff>
      <xdr:row>55</xdr:row>
      <xdr:rowOff>87630</xdr:rowOff>
    </xdr:to>
    <xdr:cxnSp macro="">
      <xdr:nvCxnSpPr>
        <xdr:cNvPr id="28235" name="직선 화살표 연결선 28234">
          <a:extLst>
            <a:ext uri="{FF2B5EF4-FFF2-40B4-BE49-F238E27FC236}">
              <a16:creationId xmlns:a16="http://schemas.microsoft.com/office/drawing/2014/main" id="{9A2B1421-F0A7-463B-BD7B-B5B83D9FF4F6}"/>
            </a:ext>
          </a:extLst>
        </xdr:cNvPr>
        <xdr:cNvCxnSpPr/>
      </xdr:nvCxnSpPr>
      <xdr:spPr>
        <a:xfrm>
          <a:off x="10473146" y="94792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272</xdr:colOff>
      <xdr:row>54</xdr:row>
      <xdr:rowOff>34289</xdr:rowOff>
    </xdr:from>
    <xdr:to>
      <xdr:col>41</xdr:col>
      <xdr:colOff>41638</xdr:colOff>
      <xdr:row>54</xdr:row>
      <xdr:rowOff>148589</xdr:rowOff>
    </xdr:to>
    <xdr:sp macro="" textlink="">
      <xdr:nvSpPr>
        <xdr:cNvPr id="28236" name="직사각형 28235">
          <a:extLst>
            <a:ext uri="{FF2B5EF4-FFF2-40B4-BE49-F238E27FC236}">
              <a16:creationId xmlns:a16="http://schemas.microsoft.com/office/drawing/2014/main" id="{4E1E68B9-4599-4587-8702-19071BAC3B21}"/>
            </a:ext>
          </a:extLst>
        </xdr:cNvPr>
        <xdr:cNvSpPr/>
      </xdr:nvSpPr>
      <xdr:spPr>
        <a:xfrm>
          <a:off x="10411097" y="9254489"/>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272</xdr:colOff>
      <xdr:row>54</xdr:row>
      <xdr:rowOff>91439</xdr:rowOff>
    </xdr:from>
    <xdr:to>
      <xdr:col>41</xdr:col>
      <xdr:colOff>272</xdr:colOff>
      <xdr:row>54</xdr:row>
      <xdr:rowOff>91439</xdr:rowOff>
    </xdr:to>
    <xdr:cxnSp macro="">
      <xdr:nvCxnSpPr>
        <xdr:cNvPr id="28237" name="직선 화살표 연결선 28236">
          <a:extLst>
            <a:ext uri="{FF2B5EF4-FFF2-40B4-BE49-F238E27FC236}">
              <a16:creationId xmlns:a16="http://schemas.microsoft.com/office/drawing/2014/main" id="{437B7976-42D9-4C5A-80BD-382AB58BB6B1}"/>
            </a:ext>
          </a:extLst>
        </xdr:cNvPr>
        <xdr:cNvCxnSpPr/>
      </xdr:nvCxnSpPr>
      <xdr:spPr>
        <a:xfrm>
          <a:off x="10411097" y="93116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81099</xdr:colOff>
      <xdr:row>53</xdr:row>
      <xdr:rowOff>38100</xdr:rowOff>
    </xdr:from>
    <xdr:to>
      <xdr:col>41</xdr:col>
      <xdr:colOff>272</xdr:colOff>
      <xdr:row>53</xdr:row>
      <xdr:rowOff>152400</xdr:rowOff>
    </xdr:to>
    <xdr:sp macro="" textlink="">
      <xdr:nvSpPr>
        <xdr:cNvPr id="28238" name="직사각형 28237">
          <a:extLst>
            <a:ext uri="{FF2B5EF4-FFF2-40B4-BE49-F238E27FC236}">
              <a16:creationId xmlns:a16="http://schemas.microsoft.com/office/drawing/2014/main" id="{40002B83-8435-4351-BF28-F0E8479AF378}"/>
            </a:ext>
          </a:extLst>
        </xdr:cNvPr>
        <xdr:cNvSpPr/>
      </xdr:nvSpPr>
      <xdr:spPr>
        <a:xfrm>
          <a:off x="10349049" y="908685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81099</xdr:colOff>
      <xdr:row>53</xdr:row>
      <xdr:rowOff>95250</xdr:rowOff>
    </xdr:from>
    <xdr:to>
      <xdr:col>40</xdr:col>
      <xdr:colOff>81099</xdr:colOff>
      <xdr:row>53</xdr:row>
      <xdr:rowOff>95250</xdr:rowOff>
    </xdr:to>
    <xdr:cxnSp macro="">
      <xdr:nvCxnSpPr>
        <xdr:cNvPr id="28239" name="직선 화살표 연결선 28238">
          <a:extLst>
            <a:ext uri="{FF2B5EF4-FFF2-40B4-BE49-F238E27FC236}">
              <a16:creationId xmlns:a16="http://schemas.microsoft.com/office/drawing/2014/main" id="{FE6C6A31-D5A6-49DC-8EC4-3AF3EC317FBC}"/>
            </a:ext>
          </a:extLst>
        </xdr:cNvPr>
        <xdr:cNvCxnSpPr/>
      </xdr:nvCxnSpPr>
      <xdr:spPr>
        <a:xfrm>
          <a:off x="10349049" y="9144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39733</xdr:colOff>
      <xdr:row>52</xdr:row>
      <xdr:rowOff>41910</xdr:rowOff>
    </xdr:from>
    <xdr:to>
      <xdr:col>40</xdr:col>
      <xdr:colOff>81099</xdr:colOff>
      <xdr:row>52</xdr:row>
      <xdr:rowOff>156210</xdr:rowOff>
    </xdr:to>
    <xdr:sp macro="" textlink="">
      <xdr:nvSpPr>
        <xdr:cNvPr id="28240" name="직사각형 28239">
          <a:extLst>
            <a:ext uri="{FF2B5EF4-FFF2-40B4-BE49-F238E27FC236}">
              <a16:creationId xmlns:a16="http://schemas.microsoft.com/office/drawing/2014/main" id="{A1688732-1505-4560-8E09-0CC8EEF27863}"/>
            </a:ext>
          </a:extLst>
        </xdr:cNvPr>
        <xdr:cNvSpPr/>
      </xdr:nvSpPr>
      <xdr:spPr>
        <a:xfrm>
          <a:off x="10307683" y="891921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39733</xdr:colOff>
      <xdr:row>52</xdr:row>
      <xdr:rowOff>99060</xdr:rowOff>
    </xdr:from>
    <xdr:to>
      <xdr:col>40</xdr:col>
      <xdr:colOff>39733</xdr:colOff>
      <xdr:row>52</xdr:row>
      <xdr:rowOff>99060</xdr:rowOff>
    </xdr:to>
    <xdr:cxnSp macro="">
      <xdr:nvCxnSpPr>
        <xdr:cNvPr id="28241" name="직선 화살표 연결선 28240">
          <a:extLst>
            <a:ext uri="{FF2B5EF4-FFF2-40B4-BE49-F238E27FC236}">
              <a16:creationId xmlns:a16="http://schemas.microsoft.com/office/drawing/2014/main" id="{85C84CF0-4BB0-4BB5-A1FC-FCCD6A75CDB5}"/>
            </a:ext>
          </a:extLst>
        </xdr:cNvPr>
        <xdr:cNvCxnSpPr/>
      </xdr:nvCxnSpPr>
      <xdr:spPr>
        <a:xfrm>
          <a:off x="10307683" y="89763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39733</xdr:colOff>
      <xdr:row>51</xdr:row>
      <xdr:rowOff>45720</xdr:rowOff>
    </xdr:from>
    <xdr:to>
      <xdr:col>41</xdr:col>
      <xdr:colOff>103687</xdr:colOff>
      <xdr:row>51</xdr:row>
      <xdr:rowOff>160020</xdr:rowOff>
    </xdr:to>
    <xdr:sp macro="" textlink="">
      <xdr:nvSpPr>
        <xdr:cNvPr id="28242" name="직사각형 28241">
          <a:extLst>
            <a:ext uri="{FF2B5EF4-FFF2-40B4-BE49-F238E27FC236}">
              <a16:creationId xmlns:a16="http://schemas.microsoft.com/office/drawing/2014/main" id="{57E0B949-8D0D-49D0-8612-C352DEFEACA1}"/>
            </a:ext>
          </a:extLst>
        </xdr:cNvPr>
        <xdr:cNvSpPr/>
      </xdr:nvSpPr>
      <xdr:spPr>
        <a:xfrm>
          <a:off x="10307683" y="875157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39733</xdr:colOff>
      <xdr:row>51</xdr:row>
      <xdr:rowOff>102870</xdr:rowOff>
    </xdr:from>
    <xdr:to>
      <xdr:col>40</xdr:col>
      <xdr:colOff>39733</xdr:colOff>
      <xdr:row>51</xdr:row>
      <xdr:rowOff>102870</xdr:rowOff>
    </xdr:to>
    <xdr:cxnSp macro="">
      <xdr:nvCxnSpPr>
        <xdr:cNvPr id="28243" name="직선 화살표 연결선 28242">
          <a:extLst>
            <a:ext uri="{FF2B5EF4-FFF2-40B4-BE49-F238E27FC236}">
              <a16:creationId xmlns:a16="http://schemas.microsoft.com/office/drawing/2014/main" id="{DCBE68B6-A27C-45EF-88C4-6849B0A55C12}"/>
            </a:ext>
          </a:extLst>
        </xdr:cNvPr>
        <xdr:cNvCxnSpPr/>
      </xdr:nvCxnSpPr>
      <xdr:spPr>
        <a:xfrm>
          <a:off x="10307683" y="8808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39733</xdr:colOff>
      <xdr:row>50</xdr:row>
      <xdr:rowOff>49530</xdr:rowOff>
    </xdr:from>
    <xdr:to>
      <xdr:col>41</xdr:col>
      <xdr:colOff>103687</xdr:colOff>
      <xdr:row>50</xdr:row>
      <xdr:rowOff>163830</xdr:rowOff>
    </xdr:to>
    <xdr:sp macro="" textlink="">
      <xdr:nvSpPr>
        <xdr:cNvPr id="28244" name="직사각형 28243">
          <a:extLst>
            <a:ext uri="{FF2B5EF4-FFF2-40B4-BE49-F238E27FC236}">
              <a16:creationId xmlns:a16="http://schemas.microsoft.com/office/drawing/2014/main" id="{164C250D-7E0A-4F0E-9A63-B1C796678CD5}"/>
            </a:ext>
          </a:extLst>
        </xdr:cNvPr>
        <xdr:cNvSpPr/>
      </xdr:nvSpPr>
      <xdr:spPr>
        <a:xfrm>
          <a:off x="10307683" y="858393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39733</xdr:colOff>
      <xdr:row>50</xdr:row>
      <xdr:rowOff>106680</xdr:rowOff>
    </xdr:from>
    <xdr:to>
      <xdr:col>40</xdr:col>
      <xdr:colOff>39733</xdr:colOff>
      <xdr:row>50</xdr:row>
      <xdr:rowOff>106680</xdr:rowOff>
    </xdr:to>
    <xdr:cxnSp macro="">
      <xdr:nvCxnSpPr>
        <xdr:cNvPr id="28245" name="직선 화살표 연결선 28244">
          <a:extLst>
            <a:ext uri="{FF2B5EF4-FFF2-40B4-BE49-F238E27FC236}">
              <a16:creationId xmlns:a16="http://schemas.microsoft.com/office/drawing/2014/main" id="{726B5C77-EE18-41D4-991F-74AE79ECA7E1}"/>
            </a:ext>
          </a:extLst>
        </xdr:cNvPr>
        <xdr:cNvCxnSpPr/>
      </xdr:nvCxnSpPr>
      <xdr:spPr>
        <a:xfrm>
          <a:off x="10307683" y="8641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120559</xdr:colOff>
      <xdr:row>49</xdr:row>
      <xdr:rowOff>53339</xdr:rowOff>
    </xdr:from>
    <xdr:to>
      <xdr:col>40</xdr:col>
      <xdr:colOff>39733</xdr:colOff>
      <xdr:row>49</xdr:row>
      <xdr:rowOff>167639</xdr:rowOff>
    </xdr:to>
    <xdr:sp macro="" textlink="">
      <xdr:nvSpPr>
        <xdr:cNvPr id="28246" name="직사각형 28245">
          <a:extLst>
            <a:ext uri="{FF2B5EF4-FFF2-40B4-BE49-F238E27FC236}">
              <a16:creationId xmlns:a16="http://schemas.microsoft.com/office/drawing/2014/main" id="{9B5AAF6C-D6F7-4094-9220-DC21929A7C39}"/>
            </a:ext>
          </a:extLst>
        </xdr:cNvPr>
        <xdr:cNvSpPr/>
      </xdr:nvSpPr>
      <xdr:spPr>
        <a:xfrm>
          <a:off x="10245634" y="8416289"/>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120559</xdr:colOff>
      <xdr:row>49</xdr:row>
      <xdr:rowOff>110489</xdr:rowOff>
    </xdr:from>
    <xdr:to>
      <xdr:col>39</xdr:col>
      <xdr:colOff>120559</xdr:colOff>
      <xdr:row>49</xdr:row>
      <xdr:rowOff>110489</xdr:rowOff>
    </xdr:to>
    <xdr:cxnSp macro="">
      <xdr:nvCxnSpPr>
        <xdr:cNvPr id="28247" name="직선 화살표 연결선 28246">
          <a:extLst>
            <a:ext uri="{FF2B5EF4-FFF2-40B4-BE49-F238E27FC236}">
              <a16:creationId xmlns:a16="http://schemas.microsoft.com/office/drawing/2014/main" id="{0CC75B4B-7E0E-4D6C-8C27-6DEAA4C51A11}"/>
            </a:ext>
          </a:extLst>
        </xdr:cNvPr>
        <xdr:cNvCxnSpPr/>
      </xdr:nvCxnSpPr>
      <xdr:spPr>
        <a:xfrm>
          <a:off x="10245634" y="84734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120559</xdr:colOff>
      <xdr:row>48</xdr:row>
      <xdr:rowOff>57150</xdr:rowOff>
    </xdr:from>
    <xdr:to>
      <xdr:col>40</xdr:col>
      <xdr:colOff>19050</xdr:colOff>
      <xdr:row>49</xdr:row>
      <xdr:rowOff>0</xdr:rowOff>
    </xdr:to>
    <xdr:sp macro="" textlink="">
      <xdr:nvSpPr>
        <xdr:cNvPr id="28248" name="직사각형 28247">
          <a:extLst>
            <a:ext uri="{FF2B5EF4-FFF2-40B4-BE49-F238E27FC236}">
              <a16:creationId xmlns:a16="http://schemas.microsoft.com/office/drawing/2014/main" id="{79FD79C1-DDE4-4678-8524-8A9827F4AD04}"/>
            </a:ext>
          </a:extLst>
        </xdr:cNvPr>
        <xdr:cNvSpPr/>
      </xdr:nvSpPr>
      <xdr:spPr>
        <a:xfrm>
          <a:off x="10245634" y="82486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120559</xdr:colOff>
      <xdr:row>48</xdr:row>
      <xdr:rowOff>114300</xdr:rowOff>
    </xdr:from>
    <xdr:to>
      <xdr:col>39</xdr:col>
      <xdr:colOff>120559</xdr:colOff>
      <xdr:row>48</xdr:row>
      <xdr:rowOff>114300</xdr:rowOff>
    </xdr:to>
    <xdr:cxnSp macro="">
      <xdr:nvCxnSpPr>
        <xdr:cNvPr id="28249" name="직선 화살표 연결선 28248">
          <a:extLst>
            <a:ext uri="{FF2B5EF4-FFF2-40B4-BE49-F238E27FC236}">
              <a16:creationId xmlns:a16="http://schemas.microsoft.com/office/drawing/2014/main" id="{1393D834-9F7C-40E4-BC46-5FBFA2A64940}"/>
            </a:ext>
          </a:extLst>
        </xdr:cNvPr>
        <xdr:cNvCxnSpPr/>
      </xdr:nvCxnSpPr>
      <xdr:spPr>
        <a:xfrm>
          <a:off x="10245634" y="8305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120559</xdr:colOff>
      <xdr:row>47</xdr:row>
      <xdr:rowOff>60960</xdr:rowOff>
    </xdr:from>
    <xdr:to>
      <xdr:col>40</xdr:col>
      <xdr:colOff>39733</xdr:colOff>
      <xdr:row>48</xdr:row>
      <xdr:rowOff>3810</xdr:rowOff>
    </xdr:to>
    <xdr:sp macro="" textlink="">
      <xdr:nvSpPr>
        <xdr:cNvPr id="28250" name="직사각형 28249">
          <a:extLst>
            <a:ext uri="{FF2B5EF4-FFF2-40B4-BE49-F238E27FC236}">
              <a16:creationId xmlns:a16="http://schemas.microsoft.com/office/drawing/2014/main" id="{53EE6933-C087-4D9B-82ED-E9D12210085D}"/>
            </a:ext>
          </a:extLst>
        </xdr:cNvPr>
        <xdr:cNvSpPr/>
      </xdr:nvSpPr>
      <xdr:spPr>
        <a:xfrm>
          <a:off x="10245634" y="8081010"/>
          <a:ext cx="62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120559</xdr:colOff>
      <xdr:row>47</xdr:row>
      <xdr:rowOff>118110</xdr:rowOff>
    </xdr:from>
    <xdr:to>
      <xdr:col>39</xdr:col>
      <xdr:colOff>120559</xdr:colOff>
      <xdr:row>47</xdr:row>
      <xdr:rowOff>118110</xdr:rowOff>
    </xdr:to>
    <xdr:cxnSp macro="">
      <xdr:nvCxnSpPr>
        <xdr:cNvPr id="28251" name="직선 화살표 연결선 28250">
          <a:extLst>
            <a:ext uri="{FF2B5EF4-FFF2-40B4-BE49-F238E27FC236}">
              <a16:creationId xmlns:a16="http://schemas.microsoft.com/office/drawing/2014/main" id="{35AC4D3C-94DD-4554-A938-C9085C44C698}"/>
            </a:ext>
          </a:extLst>
        </xdr:cNvPr>
        <xdr:cNvCxnSpPr/>
      </xdr:nvCxnSpPr>
      <xdr:spPr>
        <a:xfrm>
          <a:off x="10245634" y="81381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79194</xdr:colOff>
      <xdr:row>46</xdr:row>
      <xdr:rowOff>64770</xdr:rowOff>
    </xdr:from>
    <xdr:to>
      <xdr:col>39</xdr:col>
      <xdr:colOff>141242</xdr:colOff>
      <xdr:row>47</xdr:row>
      <xdr:rowOff>7620</xdr:rowOff>
    </xdr:to>
    <xdr:sp macro="" textlink="">
      <xdr:nvSpPr>
        <xdr:cNvPr id="28252" name="직사각형 28251">
          <a:extLst>
            <a:ext uri="{FF2B5EF4-FFF2-40B4-BE49-F238E27FC236}">
              <a16:creationId xmlns:a16="http://schemas.microsoft.com/office/drawing/2014/main" id="{27A5AAB4-5FFE-4E8F-AB76-FBD0DD57DD26}"/>
            </a:ext>
          </a:extLst>
        </xdr:cNvPr>
        <xdr:cNvSpPr/>
      </xdr:nvSpPr>
      <xdr:spPr>
        <a:xfrm>
          <a:off x="10204269" y="791337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79194</xdr:colOff>
      <xdr:row>46</xdr:row>
      <xdr:rowOff>121920</xdr:rowOff>
    </xdr:from>
    <xdr:to>
      <xdr:col>39</xdr:col>
      <xdr:colOff>79194</xdr:colOff>
      <xdr:row>46</xdr:row>
      <xdr:rowOff>121920</xdr:rowOff>
    </xdr:to>
    <xdr:cxnSp macro="">
      <xdr:nvCxnSpPr>
        <xdr:cNvPr id="28253" name="직선 화살표 연결선 28252">
          <a:extLst>
            <a:ext uri="{FF2B5EF4-FFF2-40B4-BE49-F238E27FC236}">
              <a16:creationId xmlns:a16="http://schemas.microsoft.com/office/drawing/2014/main" id="{ED253454-1B6C-4DBF-ABAF-2CC1882FA589}"/>
            </a:ext>
          </a:extLst>
        </xdr:cNvPr>
        <xdr:cNvCxnSpPr/>
      </xdr:nvCxnSpPr>
      <xdr:spPr>
        <a:xfrm>
          <a:off x="10204269" y="79705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37828</xdr:colOff>
      <xdr:row>45</xdr:row>
      <xdr:rowOff>68580</xdr:rowOff>
    </xdr:from>
    <xdr:to>
      <xdr:col>39</xdr:col>
      <xdr:colOff>99876</xdr:colOff>
      <xdr:row>46</xdr:row>
      <xdr:rowOff>11430</xdr:rowOff>
    </xdr:to>
    <xdr:sp macro="" textlink="">
      <xdr:nvSpPr>
        <xdr:cNvPr id="28254" name="직사각형 28253">
          <a:extLst>
            <a:ext uri="{FF2B5EF4-FFF2-40B4-BE49-F238E27FC236}">
              <a16:creationId xmlns:a16="http://schemas.microsoft.com/office/drawing/2014/main" id="{23C0073A-FDFD-40B8-84BE-3EA8CA786765}"/>
            </a:ext>
          </a:extLst>
        </xdr:cNvPr>
        <xdr:cNvSpPr/>
      </xdr:nvSpPr>
      <xdr:spPr>
        <a:xfrm>
          <a:off x="10162903" y="77457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37828</xdr:colOff>
      <xdr:row>45</xdr:row>
      <xdr:rowOff>125730</xdr:rowOff>
    </xdr:from>
    <xdr:to>
      <xdr:col>39</xdr:col>
      <xdr:colOff>37828</xdr:colOff>
      <xdr:row>45</xdr:row>
      <xdr:rowOff>125730</xdr:rowOff>
    </xdr:to>
    <xdr:cxnSp macro="">
      <xdr:nvCxnSpPr>
        <xdr:cNvPr id="28255" name="직선 화살표 연결선 28254">
          <a:extLst>
            <a:ext uri="{FF2B5EF4-FFF2-40B4-BE49-F238E27FC236}">
              <a16:creationId xmlns:a16="http://schemas.microsoft.com/office/drawing/2014/main" id="{8CCB37C7-FC11-465C-8B72-3C1898134ABD}"/>
            </a:ext>
          </a:extLst>
        </xdr:cNvPr>
        <xdr:cNvCxnSpPr/>
      </xdr:nvCxnSpPr>
      <xdr:spPr>
        <a:xfrm>
          <a:off x="10162903" y="7802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37828</xdr:colOff>
      <xdr:row>44</xdr:row>
      <xdr:rowOff>72389</xdr:rowOff>
    </xdr:from>
    <xdr:to>
      <xdr:col>39</xdr:col>
      <xdr:colOff>141242</xdr:colOff>
      <xdr:row>45</xdr:row>
      <xdr:rowOff>15239</xdr:rowOff>
    </xdr:to>
    <xdr:sp macro="" textlink="">
      <xdr:nvSpPr>
        <xdr:cNvPr id="28256" name="직사각형 28255">
          <a:extLst>
            <a:ext uri="{FF2B5EF4-FFF2-40B4-BE49-F238E27FC236}">
              <a16:creationId xmlns:a16="http://schemas.microsoft.com/office/drawing/2014/main" id="{C23F30F1-AE93-42AD-ACA1-6C85B18495F5}"/>
            </a:ext>
          </a:extLst>
        </xdr:cNvPr>
        <xdr:cNvSpPr/>
      </xdr:nvSpPr>
      <xdr:spPr>
        <a:xfrm>
          <a:off x="10162903" y="7578089"/>
          <a:ext cx="1034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37828</xdr:colOff>
      <xdr:row>44</xdr:row>
      <xdr:rowOff>129539</xdr:rowOff>
    </xdr:from>
    <xdr:to>
      <xdr:col>39</xdr:col>
      <xdr:colOff>37828</xdr:colOff>
      <xdr:row>44</xdr:row>
      <xdr:rowOff>129539</xdr:rowOff>
    </xdr:to>
    <xdr:cxnSp macro="">
      <xdr:nvCxnSpPr>
        <xdr:cNvPr id="28257" name="직선 화살표 연결선 28256">
          <a:extLst>
            <a:ext uri="{FF2B5EF4-FFF2-40B4-BE49-F238E27FC236}">
              <a16:creationId xmlns:a16="http://schemas.microsoft.com/office/drawing/2014/main" id="{4F7D95BE-14E4-4850-A83C-95E187D054D6}"/>
            </a:ext>
          </a:extLst>
        </xdr:cNvPr>
        <xdr:cNvCxnSpPr/>
      </xdr:nvCxnSpPr>
      <xdr:spPr>
        <a:xfrm>
          <a:off x="10162903" y="76352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37828</xdr:colOff>
      <xdr:row>43</xdr:row>
      <xdr:rowOff>76200</xdr:rowOff>
    </xdr:from>
    <xdr:to>
      <xdr:col>40</xdr:col>
      <xdr:colOff>39733</xdr:colOff>
      <xdr:row>44</xdr:row>
      <xdr:rowOff>19050</xdr:rowOff>
    </xdr:to>
    <xdr:sp macro="" textlink="">
      <xdr:nvSpPr>
        <xdr:cNvPr id="28258" name="직사각형 28257">
          <a:extLst>
            <a:ext uri="{FF2B5EF4-FFF2-40B4-BE49-F238E27FC236}">
              <a16:creationId xmlns:a16="http://schemas.microsoft.com/office/drawing/2014/main" id="{0EBDF4DB-D634-4A01-B497-75ABCCB99EFA}"/>
            </a:ext>
          </a:extLst>
        </xdr:cNvPr>
        <xdr:cNvSpPr/>
      </xdr:nvSpPr>
      <xdr:spPr>
        <a:xfrm>
          <a:off x="10162903" y="7410450"/>
          <a:ext cx="144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37828</xdr:colOff>
      <xdr:row>43</xdr:row>
      <xdr:rowOff>133350</xdr:rowOff>
    </xdr:from>
    <xdr:to>
      <xdr:col>39</xdr:col>
      <xdr:colOff>37828</xdr:colOff>
      <xdr:row>43</xdr:row>
      <xdr:rowOff>133350</xdr:rowOff>
    </xdr:to>
    <xdr:cxnSp macro="">
      <xdr:nvCxnSpPr>
        <xdr:cNvPr id="28259" name="직선 화살표 연결선 28258">
          <a:extLst>
            <a:ext uri="{FF2B5EF4-FFF2-40B4-BE49-F238E27FC236}">
              <a16:creationId xmlns:a16="http://schemas.microsoft.com/office/drawing/2014/main" id="{30970F6A-2AA4-4111-ADB1-4EF996F8ED5C}"/>
            </a:ext>
          </a:extLst>
        </xdr:cNvPr>
        <xdr:cNvCxnSpPr/>
      </xdr:nvCxnSpPr>
      <xdr:spPr>
        <a:xfrm>
          <a:off x="10162903" y="7467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118654</xdr:colOff>
      <xdr:row>42</xdr:row>
      <xdr:rowOff>80010</xdr:rowOff>
    </xdr:from>
    <xdr:to>
      <xdr:col>39</xdr:col>
      <xdr:colOff>58510</xdr:colOff>
      <xdr:row>43</xdr:row>
      <xdr:rowOff>22860</xdr:rowOff>
    </xdr:to>
    <xdr:sp macro="" textlink="">
      <xdr:nvSpPr>
        <xdr:cNvPr id="28260" name="직사각형 28259">
          <a:extLst>
            <a:ext uri="{FF2B5EF4-FFF2-40B4-BE49-F238E27FC236}">
              <a16:creationId xmlns:a16="http://schemas.microsoft.com/office/drawing/2014/main" id="{B0F8F66D-8169-403C-88EA-7F1B10478319}"/>
            </a:ext>
          </a:extLst>
        </xdr:cNvPr>
        <xdr:cNvSpPr/>
      </xdr:nvSpPr>
      <xdr:spPr>
        <a:xfrm>
          <a:off x="10100854" y="724281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118654</xdr:colOff>
      <xdr:row>42</xdr:row>
      <xdr:rowOff>137160</xdr:rowOff>
    </xdr:from>
    <xdr:to>
      <xdr:col>38</xdr:col>
      <xdr:colOff>118654</xdr:colOff>
      <xdr:row>42</xdr:row>
      <xdr:rowOff>137160</xdr:rowOff>
    </xdr:to>
    <xdr:cxnSp macro="">
      <xdr:nvCxnSpPr>
        <xdr:cNvPr id="28261" name="직선 화살표 연결선 28260">
          <a:extLst>
            <a:ext uri="{FF2B5EF4-FFF2-40B4-BE49-F238E27FC236}">
              <a16:creationId xmlns:a16="http://schemas.microsoft.com/office/drawing/2014/main" id="{DA32DC76-8E6E-4612-83CD-283E4DDB7F63}"/>
            </a:ext>
          </a:extLst>
        </xdr:cNvPr>
        <xdr:cNvCxnSpPr/>
      </xdr:nvCxnSpPr>
      <xdr:spPr>
        <a:xfrm>
          <a:off x="10100854" y="72999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118654</xdr:colOff>
      <xdr:row>41</xdr:row>
      <xdr:rowOff>83820</xdr:rowOff>
    </xdr:from>
    <xdr:to>
      <xdr:col>39</xdr:col>
      <xdr:colOff>58510</xdr:colOff>
      <xdr:row>42</xdr:row>
      <xdr:rowOff>26670</xdr:rowOff>
    </xdr:to>
    <xdr:sp macro="" textlink="">
      <xdr:nvSpPr>
        <xdr:cNvPr id="28262" name="직사각형 28261">
          <a:extLst>
            <a:ext uri="{FF2B5EF4-FFF2-40B4-BE49-F238E27FC236}">
              <a16:creationId xmlns:a16="http://schemas.microsoft.com/office/drawing/2014/main" id="{92A3C1ED-D1F6-4EDE-A2C4-A3DEF840C8D8}"/>
            </a:ext>
          </a:extLst>
        </xdr:cNvPr>
        <xdr:cNvSpPr/>
      </xdr:nvSpPr>
      <xdr:spPr>
        <a:xfrm>
          <a:off x="10100854" y="707517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118654</xdr:colOff>
      <xdr:row>41</xdr:row>
      <xdr:rowOff>140970</xdr:rowOff>
    </xdr:from>
    <xdr:to>
      <xdr:col>38</xdr:col>
      <xdr:colOff>118654</xdr:colOff>
      <xdr:row>41</xdr:row>
      <xdr:rowOff>140970</xdr:rowOff>
    </xdr:to>
    <xdr:cxnSp macro="">
      <xdr:nvCxnSpPr>
        <xdr:cNvPr id="28263" name="직선 화살표 연결선 28262">
          <a:extLst>
            <a:ext uri="{FF2B5EF4-FFF2-40B4-BE49-F238E27FC236}">
              <a16:creationId xmlns:a16="http://schemas.microsoft.com/office/drawing/2014/main" id="{EC49A445-5A06-4F23-9360-8BFDB0B6DF23}"/>
            </a:ext>
          </a:extLst>
        </xdr:cNvPr>
        <xdr:cNvCxnSpPr/>
      </xdr:nvCxnSpPr>
      <xdr:spPr>
        <a:xfrm>
          <a:off x="10100854" y="7132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118654</xdr:colOff>
      <xdr:row>40</xdr:row>
      <xdr:rowOff>87630</xdr:rowOff>
    </xdr:from>
    <xdr:to>
      <xdr:col>39</xdr:col>
      <xdr:colOff>58510</xdr:colOff>
      <xdr:row>41</xdr:row>
      <xdr:rowOff>30480</xdr:rowOff>
    </xdr:to>
    <xdr:sp macro="" textlink="">
      <xdr:nvSpPr>
        <xdr:cNvPr id="28264" name="직사각형 28263">
          <a:extLst>
            <a:ext uri="{FF2B5EF4-FFF2-40B4-BE49-F238E27FC236}">
              <a16:creationId xmlns:a16="http://schemas.microsoft.com/office/drawing/2014/main" id="{E05E46D4-D9C3-49CA-B9F5-2F4C052C84C6}"/>
            </a:ext>
          </a:extLst>
        </xdr:cNvPr>
        <xdr:cNvSpPr/>
      </xdr:nvSpPr>
      <xdr:spPr>
        <a:xfrm>
          <a:off x="10100854" y="69075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118654</xdr:colOff>
      <xdr:row>40</xdr:row>
      <xdr:rowOff>144780</xdr:rowOff>
    </xdr:from>
    <xdr:to>
      <xdr:col>38</xdr:col>
      <xdr:colOff>118654</xdr:colOff>
      <xdr:row>40</xdr:row>
      <xdr:rowOff>144780</xdr:rowOff>
    </xdr:to>
    <xdr:cxnSp macro="">
      <xdr:nvCxnSpPr>
        <xdr:cNvPr id="28265" name="직선 화살표 연결선 28264">
          <a:extLst>
            <a:ext uri="{FF2B5EF4-FFF2-40B4-BE49-F238E27FC236}">
              <a16:creationId xmlns:a16="http://schemas.microsoft.com/office/drawing/2014/main" id="{94FB2746-91A9-4EBE-B63C-A0643B7E0163}"/>
            </a:ext>
          </a:extLst>
        </xdr:cNvPr>
        <xdr:cNvCxnSpPr/>
      </xdr:nvCxnSpPr>
      <xdr:spPr>
        <a:xfrm>
          <a:off x="10100854" y="6964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118654</xdr:colOff>
      <xdr:row>39</xdr:row>
      <xdr:rowOff>91439</xdr:rowOff>
    </xdr:from>
    <xdr:to>
      <xdr:col>39</xdr:col>
      <xdr:colOff>58510</xdr:colOff>
      <xdr:row>40</xdr:row>
      <xdr:rowOff>34289</xdr:rowOff>
    </xdr:to>
    <xdr:sp macro="" textlink="">
      <xdr:nvSpPr>
        <xdr:cNvPr id="28266" name="직사각형 28265">
          <a:extLst>
            <a:ext uri="{FF2B5EF4-FFF2-40B4-BE49-F238E27FC236}">
              <a16:creationId xmlns:a16="http://schemas.microsoft.com/office/drawing/2014/main" id="{070B6064-1FC6-43F0-9AC8-015021EF8574}"/>
            </a:ext>
          </a:extLst>
        </xdr:cNvPr>
        <xdr:cNvSpPr/>
      </xdr:nvSpPr>
      <xdr:spPr>
        <a:xfrm>
          <a:off x="10100854" y="6739889"/>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118654</xdr:colOff>
      <xdr:row>39</xdr:row>
      <xdr:rowOff>148589</xdr:rowOff>
    </xdr:from>
    <xdr:to>
      <xdr:col>38</xdr:col>
      <xdr:colOff>118654</xdr:colOff>
      <xdr:row>39</xdr:row>
      <xdr:rowOff>148589</xdr:rowOff>
    </xdr:to>
    <xdr:cxnSp macro="">
      <xdr:nvCxnSpPr>
        <xdr:cNvPr id="28267" name="직선 화살표 연결선 28266">
          <a:extLst>
            <a:ext uri="{FF2B5EF4-FFF2-40B4-BE49-F238E27FC236}">
              <a16:creationId xmlns:a16="http://schemas.microsoft.com/office/drawing/2014/main" id="{59F9167B-51B2-481B-9C1E-74A12940A631}"/>
            </a:ext>
          </a:extLst>
        </xdr:cNvPr>
        <xdr:cNvCxnSpPr/>
      </xdr:nvCxnSpPr>
      <xdr:spPr>
        <a:xfrm>
          <a:off x="10100854" y="67970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37828</xdr:colOff>
      <xdr:row>38</xdr:row>
      <xdr:rowOff>95250</xdr:rowOff>
    </xdr:from>
    <xdr:to>
      <xdr:col>39</xdr:col>
      <xdr:colOff>79194</xdr:colOff>
      <xdr:row>39</xdr:row>
      <xdr:rowOff>38100</xdr:rowOff>
    </xdr:to>
    <xdr:sp macro="" textlink="">
      <xdr:nvSpPr>
        <xdr:cNvPr id="28268" name="직사각형 28267">
          <a:extLst>
            <a:ext uri="{FF2B5EF4-FFF2-40B4-BE49-F238E27FC236}">
              <a16:creationId xmlns:a16="http://schemas.microsoft.com/office/drawing/2014/main" id="{CDAD4A90-A569-443C-AFDC-EE0938AD0F22}"/>
            </a:ext>
          </a:extLst>
        </xdr:cNvPr>
        <xdr:cNvSpPr/>
      </xdr:nvSpPr>
      <xdr:spPr>
        <a:xfrm>
          <a:off x="10162903" y="65722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37828</xdr:colOff>
      <xdr:row>38</xdr:row>
      <xdr:rowOff>152400</xdr:rowOff>
    </xdr:from>
    <xdr:to>
      <xdr:col>39</xdr:col>
      <xdr:colOff>37828</xdr:colOff>
      <xdr:row>38</xdr:row>
      <xdr:rowOff>152400</xdr:rowOff>
    </xdr:to>
    <xdr:cxnSp macro="">
      <xdr:nvCxnSpPr>
        <xdr:cNvPr id="28269" name="직선 화살표 연결선 28268">
          <a:extLst>
            <a:ext uri="{FF2B5EF4-FFF2-40B4-BE49-F238E27FC236}">
              <a16:creationId xmlns:a16="http://schemas.microsoft.com/office/drawing/2014/main" id="{6C942AFF-42C2-46E9-B210-FB14225B4B4C}"/>
            </a:ext>
          </a:extLst>
        </xdr:cNvPr>
        <xdr:cNvCxnSpPr/>
      </xdr:nvCxnSpPr>
      <xdr:spPr>
        <a:xfrm>
          <a:off x="10162903" y="6629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118654</xdr:colOff>
      <xdr:row>37</xdr:row>
      <xdr:rowOff>99060</xdr:rowOff>
    </xdr:from>
    <xdr:to>
      <xdr:col>39</xdr:col>
      <xdr:colOff>58510</xdr:colOff>
      <xdr:row>38</xdr:row>
      <xdr:rowOff>41911</xdr:rowOff>
    </xdr:to>
    <xdr:sp macro="" textlink="">
      <xdr:nvSpPr>
        <xdr:cNvPr id="28270" name="직사각형 28269">
          <a:extLst>
            <a:ext uri="{FF2B5EF4-FFF2-40B4-BE49-F238E27FC236}">
              <a16:creationId xmlns:a16="http://schemas.microsoft.com/office/drawing/2014/main" id="{51855F43-84AB-4EC2-8301-099A54E68D61}"/>
            </a:ext>
          </a:extLst>
        </xdr:cNvPr>
        <xdr:cNvSpPr/>
      </xdr:nvSpPr>
      <xdr:spPr>
        <a:xfrm>
          <a:off x="10100854" y="6404610"/>
          <a:ext cx="82731" cy="114301"/>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118654</xdr:colOff>
      <xdr:row>37</xdr:row>
      <xdr:rowOff>156210</xdr:rowOff>
    </xdr:from>
    <xdr:to>
      <xdr:col>38</xdr:col>
      <xdr:colOff>118654</xdr:colOff>
      <xdr:row>37</xdr:row>
      <xdr:rowOff>156210</xdr:rowOff>
    </xdr:to>
    <xdr:cxnSp macro="">
      <xdr:nvCxnSpPr>
        <xdr:cNvPr id="28271" name="직선 화살표 연결선 28270">
          <a:extLst>
            <a:ext uri="{FF2B5EF4-FFF2-40B4-BE49-F238E27FC236}">
              <a16:creationId xmlns:a16="http://schemas.microsoft.com/office/drawing/2014/main" id="{0AFE1B20-D2C0-4898-892C-BC6CAD414583}"/>
            </a:ext>
          </a:extLst>
        </xdr:cNvPr>
        <xdr:cNvCxnSpPr/>
      </xdr:nvCxnSpPr>
      <xdr:spPr>
        <a:xfrm>
          <a:off x="10100854" y="6461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118654</xdr:colOff>
      <xdr:row>36</xdr:row>
      <xdr:rowOff>102870</xdr:rowOff>
    </xdr:from>
    <xdr:to>
      <xdr:col>39</xdr:col>
      <xdr:colOff>79194</xdr:colOff>
      <xdr:row>37</xdr:row>
      <xdr:rowOff>45720</xdr:rowOff>
    </xdr:to>
    <xdr:sp macro="" textlink="">
      <xdr:nvSpPr>
        <xdr:cNvPr id="28272" name="직사각형 28271">
          <a:extLst>
            <a:ext uri="{FF2B5EF4-FFF2-40B4-BE49-F238E27FC236}">
              <a16:creationId xmlns:a16="http://schemas.microsoft.com/office/drawing/2014/main" id="{A61AC70A-FFF5-42E6-8A73-5658D14F644D}"/>
            </a:ext>
          </a:extLst>
        </xdr:cNvPr>
        <xdr:cNvSpPr/>
      </xdr:nvSpPr>
      <xdr:spPr>
        <a:xfrm>
          <a:off x="10100854" y="6236970"/>
          <a:ext cx="103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118654</xdr:colOff>
      <xdr:row>36</xdr:row>
      <xdr:rowOff>160020</xdr:rowOff>
    </xdr:from>
    <xdr:to>
      <xdr:col>38</xdr:col>
      <xdr:colOff>118654</xdr:colOff>
      <xdr:row>36</xdr:row>
      <xdr:rowOff>160020</xdr:rowOff>
    </xdr:to>
    <xdr:cxnSp macro="">
      <xdr:nvCxnSpPr>
        <xdr:cNvPr id="28273" name="직선 화살표 연결선 28272">
          <a:extLst>
            <a:ext uri="{FF2B5EF4-FFF2-40B4-BE49-F238E27FC236}">
              <a16:creationId xmlns:a16="http://schemas.microsoft.com/office/drawing/2014/main" id="{66F083FF-142D-4641-93AB-8200EFABB9A4}"/>
            </a:ext>
          </a:extLst>
        </xdr:cNvPr>
        <xdr:cNvCxnSpPr/>
      </xdr:nvCxnSpPr>
      <xdr:spPr>
        <a:xfrm>
          <a:off x="10100854" y="6294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118654</xdr:colOff>
      <xdr:row>35</xdr:row>
      <xdr:rowOff>106680</xdr:rowOff>
    </xdr:from>
    <xdr:to>
      <xdr:col>39</xdr:col>
      <xdr:colOff>79194</xdr:colOff>
      <xdr:row>36</xdr:row>
      <xdr:rowOff>49530</xdr:rowOff>
    </xdr:to>
    <xdr:sp macro="" textlink="">
      <xdr:nvSpPr>
        <xdr:cNvPr id="28274" name="직사각형 28273">
          <a:extLst>
            <a:ext uri="{FF2B5EF4-FFF2-40B4-BE49-F238E27FC236}">
              <a16:creationId xmlns:a16="http://schemas.microsoft.com/office/drawing/2014/main" id="{0FAB3809-6840-406A-A655-D0C96E54A059}"/>
            </a:ext>
          </a:extLst>
        </xdr:cNvPr>
        <xdr:cNvSpPr/>
      </xdr:nvSpPr>
      <xdr:spPr>
        <a:xfrm>
          <a:off x="10100854" y="6069330"/>
          <a:ext cx="103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118654</xdr:colOff>
      <xdr:row>35</xdr:row>
      <xdr:rowOff>163830</xdr:rowOff>
    </xdr:from>
    <xdr:to>
      <xdr:col>38</xdr:col>
      <xdr:colOff>118654</xdr:colOff>
      <xdr:row>35</xdr:row>
      <xdr:rowOff>163830</xdr:rowOff>
    </xdr:to>
    <xdr:cxnSp macro="">
      <xdr:nvCxnSpPr>
        <xdr:cNvPr id="28275" name="직선 화살표 연결선 28274">
          <a:extLst>
            <a:ext uri="{FF2B5EF4-FFF2-40B4-BE49-F238E27FC236}">
              <a16:creationId xmlns:a16="http://schemas.microsoft.com/office/drawing/2014/main" id="{BEF8B20A-213B-45C6-8D6F-AA63EED0FA03}"/>
            </a:ext>
          </a:extLst>
        </xdr:cNvPr>
        <xdr:cNvCxnSpPr/>
      </xdr:nvCxnSpPr>
      <xdr:spPr>
        <a:xfrm>
          <a:off x="10100854" y="61264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128179</xdr:colOff>
      <xdr:row>34</xdr:row>
      <xdr:rowOff>110490</xdr:rowOff>
    </xdr:from>
    <xdr:to>
      <xdr:col>44</xdr:col>
      <xdr:colOff>109401</xdr:colOff>
      <xdr:row>35</xdr:row>
      <xdr:rowOff>53340</xdr:rowOff>
    </xdr:to>
    <xdr:sp macro="" textlink="">
      <xdr:nvSpPr>
        <xdr:cNvPr id="28276" name="직사각형 28275">
          <a:extLst>
            <a:ext uri="{FF2B5EF4-FFF2-40B4-BE49-F238E27FC236}">
              <a16:creationId xmlns:a16="http://schemas.microsoft.com/office/drawing/2014/main" id="{C7AF26EB-0594-4CAB-B60E-3210AB0AE41E}"/>
            </a:ext>
          </a:extLst>
        </xdr:cNvPr>
        <xdr:cNvSpPr/>
      </xdr:nvSpPr>
      <xdr:spPr>
        <a:xfrm>
          <a:off x="10824754" y="590169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128179</xdr:colOff>
      <xdr:row>34</xdr:row>
      <xdr:rowOff>167640</xdr:rowOff>
    </xdr:from>
    <xdr:to>
      <xdr:col>43</xdr:col>
      <xdr:colOff>128179</xdr:colOff>
      <xdr:row>34</xdr:row>
      <xdr:rowOff>167640</xdr:rowOff>
    </xdr:to>
    <xdr:cxnSp macro="">
      <xdr:nvCxnSpPr>
        <xdr:cNvPr id="28277" name="직선 화살표 연결선 28276">
          <a:extLst>
            <a:ext uri="{FF2B5EF4-FFF2-40B4-BE49-F238E27FC236}">
              <a16:creationId xmlns:a16="http://schemas.microsoft.com/office/drawing/2014/main" id="{3E7D03B3-E169-4FC9-A8B5-C7BA8A679A2E}"/>
            </a:ext>
          </a:extLst>
        </xdr:cNvPr>
        <xdr:cNvCxnSpPr/>
      </xdr:nvCxnSpPr>
      <xdr:spPr>
        <a:xfrm>
          <a:off x="10824754" y="59588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128179</xdr:colOff>
      <xdr:row>33</xdr:row>
      <xdr:rowOff>114300</xdr:rowOff>
    </xdr:from>
    <xdr:to>
      <xdr:col>44</xdr:col>
      <xdr:colOff>109401</xdr:colOff>
      <xdr:row>34</xdr:row>
      <xdr:rowOff>57150</xdr:rowOff>
    </xdr:to>
    <xdr:sp macro="" textlink="">
      <xdr:nvSpPr>
        <xdr:cNvPr id="28278" name="직사각형 28277">
          <a:extLst>
            <a:ext uri="{FF2B5EF4-FFF2-40B4-BE49-F238E27FC236}">
              <a16:creationId xmlns:a16="http://schemas.microsoft.com/office/drawing/2014/main" id="{B8A6DA21-A51A-49F9-B23C-9C7AD8E794C3}"/>
            </a:ext>
          </a:extLst>
        </xdr:cNvPr>
        <xdr:cNvSpPr/>
      </xdr:nvSpPr>
      <xdr:spPr>
        <a:xfrm>
          <a:off x="10824754" y="573405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128179</xdr:colOff>
      <xdr:row>34</xdr:row>
      <xdr:rowOff>0</xdr:rowOff>
    </xdr:from>
    <xdr:to>
      <xdr:col>43</xdr:col>
      <xdr:colOff>128179</xdr:colOff>
      <xdr:row>34</xdr:row>
      <xdr:rowOff>0</xdr:rowOff>
    </xdr:to>
    <xdr:cxnSp macro="">
      <xdr:nvCxnSpPr>
        <xdr:cNvPr id="28279" name="직선 화살표 연결선 28278">
          <a:extLst>
            <a:ext uri="{FF2B5EF4-FFF2-40B4-BE49-F238E27FC236}">
              <a16:creationId xmlns:a16="http://schemas.microsoft.com/office/drawing/2014/main" id="{F5C07F15-CE1F-4D8A-9FE4-68EF3F428B73}"/>
            </a:ext>
          </a:extLst>
        </xdr:cNvPr>
        <xdr:cNvCxnSpPr/>
      </xdr:nvCxnSpPr>
      <xdr:spPr>
        <a:xfrm>
          <a:off x="10824754" y="5791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118654</xdr:colOff>
      <xdr:row>32</xdr:row>
      <xdr:rowOff>118110</xdr:rowOff>
    </xdr:from>
    <xdr:to>
      <xdr:col>44</xdr:col>
      <xdr:colOff>109401</xdr:colOff>
      <xdr:row>33</xdr:row>
      <xdr:rowOff>60960</xdr:rowOff>
    </xdr:to>
    <xdr:sp macro="" textlink="">
      <xdr:nvSpPr>
        <xdr:cNvPr id="28280" name="직사각형 28279">
          <a:extLst>
            <a:ext uri="{FF2B5EF4-FFF2-40B4-BE49-F238E27FC236}">
              <a16:creationId xmlns:a16="http://schemas.microsoft.com/office/drawing/2014/main" id="{B1FAB750-AA30-451B-A196-4883F837548B}"/>
            </a:ext>
          </a:extLst>
        </xdr:cNvPr>
        <xdr:cNvSpPr/>
      </xdr:nvSpPr>
      <xdr:spPr>
        <a:xfrm>
          <a:off x="10100854" y="5566410"/>
          <a:ext cx="8479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118654</xdr:colOff>
      <xdr:row>33</xdr:row>
      <xdr:rowOff>3810</xdr:rowOff>
    </xdr:from>
    <xdr:to>
      <xdr:col>38</xdr:col>
      <xdr:colOff>118654</xdr:colOff>
      <xdr:row>33</xdr:row>
      <xdr:rowOff>3810</xdr:rowOff>
    </xdr:to>
    <xdr:cxnSp macro="">
      <xdr:nvCxnSpPr>
        <xdr:cNvPr id="28281" name="직선 화살표 연결선 28280">
          <a:extLst>
            <a:ext uri="{FF2B5EF4-FFF2-40B4-BE49-F238E27FC236}">
              <a16:creationId xmlns:a16="http://schemas.microsoft.com/office/drawing/2014/main" id="{A21F8593-1D13-4399-A6E4-89ADEEE58887}"/>
            </a:ext>
          </a:extLst>
        </xdr:cNvPr>
        <xdr:cNvCxnSpPr/>
      </xdr:nvCxnSpPr>
      <xdr:spPr>
        <a:xfrm>
          <a:off x="10100854" y="56235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73478</xdr:colOff>
      <xdr:row>31</xdr:row>
      <xdr:rowOff>121920</xdr:rowOff>
    </xdr:from>
    <xdr:to>
      <xdr:col>38</xdr:col>
      <xdr:colOff>139337</xdr:colOff>
      <xdr:row>32</xdr:row>
      <xdr:rowOff>64770</xdr:rowOff>
    </xdr:to>
    <xdr:sp macro="" textlink="">
      <xdr:nvSpPr>
        <xdr:cNvPr id="28282" name="직사각형 28281">
          <a:extLst>
            <a:ext uri="{FF2B5EF4-FFF2-40B4-BE49-F238E27FC236}">
              <a16:creationId xmlns:a16="http://schemas.microsoft.com/office/drawing/2014/main" id="{312CD9E3-398D-42D0-A243-398A8FCA67D1}"/>
            </a:ext>
          </a:extLst>
        </xdr:cNvPr>
        <xdr:cNvSpPr/>
      </xdr:nvSpPr>
      <xdr:spPr>
        <a:xfrm>
          <a:off x="9769928" y="5398770"/>
          <a:ext cx="351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73478</xdr:colOff>
      <xdr:row>32</xdr:row>
      <xdr:rowOff>7620</xdr:rowOff>
    </xdr:from>
    <xdr:to>
      <xdr:col>36</xdr:col>
      <xdr:colOff>73478</xdr:colOff>
      <xdr:row>32</xdr:row>
      <xdr:rowOff>7620</xdr:rowOff>
    </xdr:to>
    <xdr:cxnSp macro="">
      <xdr:nvCxnSpPr>
        <xdr:cNvPr id="28283" name="직선 화살표 연결선 28282">
          <a:extLst>
            <a:ext uri="{FF2B5EF4-FFF2-40B4-BE49-F238E27FC236}">
              <a16:creationId xmlns:a16="http://schemas.microsoft.com/office/drawing/2014/main" id="{B15308FC-1AF9-4EB7-AAB6-259727EC616E}"/>
            </a:ext>
          </a:extLst>
        </xdr:cNvPr>
        <xdr:cNvCxnSpPr/>
      </xdr:nvCxnSpPr>
      <xdr:spPr>
        <a:xfrm>
          <a:off x="9769928" y="54559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73478</xdr:colOff>
      <xdr:row>30</xdr:row>
      <xdr:rowOff>125730</xdr:rowOff>
    </xdr:from>
    <xdr:to>
      <xdr:col>38</xdr:col>
      <xdr:colOff>139337</xdr:colOff>
      <xdr:row>31</xdr:row>
      <xdr:rowOff>68580</xdr:rowOff>
    </xdr:to>
    <xdr:sp macro="" textlink="">
      <xdr:nvSpPr>
        <xdr:cNvPr id="28284" name="직사각형 28283">
          <a:extLst>
            <a:ext uri="{FF2B5EF4-FFF2-40B4-BE49-F238E27FC236}">
              <a16:creationId xmlns:a16="http://schemas.microsoft.com/office/drawing/2014/main" id="{0C955B34-1B39-43F6-8320-8E6F77B89BFD}"/>
            </a:ext>
          </a:extLst>
        </xdr:cNvPr>
        <xdr:cNvSpPr/>
      </xdr:nvSpPr>
      <xdr:spPr>
        <a:xfrm>
          <a:off x="9769928" y="5231130"/>
          <a:ext cx="351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73478</xdr:colOff>
      <xdr:row>31</xdr:row>
      <xdr:rowOff>11430</xdr:rowOff>
    </xdr:from>
    <xdr:to>
      <xdr:col>36</xdr:col>
      <xdr:colOff>73478</xdr:colOff>
      <xdr:row>31</xdr:row>
      <xdr:rowOff>11430</xdr:rowOff>
    </xdr:to>
    <xdr:cxnSp macro="">
      <xdr:nvCxnSpPr>
        <xdr:cNvPr id="28285" name="직선 화살표 연결선 28284">
          <a:extLst>
            <a:ext uri="{FF2B5EF4-FFF2-40B4-BE49-F238E27FC236}">
              <a16:creationId xmlns:a16="http://schemas.microsoft.com/office/drawing/2014/main" id="{31AD9E39-8BC3-44F0-AF38-9150091ED690}"/>
            </a:ext>
          </a:extLst>
        </xdr:cNvPr>
        <xdr:cNvCxnSpPr/>
      </xdr:nvCxnSpPr>
      <xdr:spPr>
        <a:xfrm>
          <a:off x="9769928" y="52882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73478</xdr:colOff>
      <xdr:row>29</xdr:row>
      <xdr:rowOff>129540</xdr:rowOff>
    </xdr:from>
    <xdr:to>
      <xdr:col>38</xdr:col>
      <xdr:colOff>139337</xdr:colOff>
      <xdr:row>30</xdr:row>
      <xdr:rowOff>72390</xdr:rowOff>
    </xdr:to>
    <xdr:sp macro="" textlink="">
      <xdr:nvSpPr>
        <xdr:cNvPr id="28286" name="직사각형 28285">
          <a:extLst>
            <a:ext uri="{FF2B5EF4-FFF2-40B4-BE49-F238E27FC236}">
              <a16:creationId xmlns:a16="http://schemas.microsoft.com/office/drawing/2014/main" id="{B5F020DD-040E-4948-9563-25ED5B0C4915}"/>
            </a:ext>
          </a:extLst>
        </xdr:cNvPr>
        <xdr:cNvSpPr/>
      </xdr:nvSpPr>
      <xdr:spPr>
        <a:xfrm>
          <a:off x="9769928" y="5063490"/>
          <a:ext cx="351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73478</xdr:colOff>
      <xdr:row>30</xdr:row>
      <xdr:rowOff>15240</xdr:rowOff>
    </xdr:from>
    <xdr:to>
      <xdr:col>36</xdr:col>
      <xdr:colOff>73478</xdr:colOff>
      <xdr:row>30</xdr:row>
      <xdr:rowOff>15240</xdr:rowOff>
    </xdr:to>
    <xdr:cxnSp macro="">
      <xdr:nvCxnSpPr>
        <xdr:cNvPr id="28287" name="직선 화살표 연결선 28286">
          <a:extLst>
            <a:ext uri="{FF2B5EF4-FFF2-40B4-BE49-F238E27FC236}">
              <a16:creationId xmlns:a16="http://schemas.microsoft.com/office/drawing/2014/main" id="{3C0B0BA4-86D8-43F2-BE21-DE5777448F2E}"/>
            </a:ext>
          </a:extLst>
        </xdr:cNvPr>
        <xdr:cNvCxnSpPr/>
      </xdr:nvCxnSpPr>
      <xdr:spPr>
        <a:xfrm>
          <a:off x="9769928" y="51206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135527</xdr:colOff>
      <xdr:row>28</xdr:row>
      <xdr:rowOff>133350</xdr:rowOff>
    </xdr:from>
    <xdr:to>
      <xdr:col>38</xdr:col>
      <xdr:colOff>139337</xdr:colOff>
      <xdr:row>29</xdr:row>
      <xdr:rowOff>76200</xdr:rowOff>
    </xdr:to>
    <xdr:sp macro="" textlink="">
      <xdr:nvSpPr>
        <xdr:cNvPr id="28288" name="직사각형 28287">
          <a:extLst>
            <a:ext uri="{FF2B5EF4-FFF2-40B4-BE49-F238E27FC236}">
              <a16:creationId xmlns:a16="http://schemas.microsoft.com/office/drawing/2014/main" id="{EC608EAC-D844-47DB-A75C-2063F26D4480}"/>
            </a:ext>
          </a:extLst>
        </xdr:cNvPr>
        <xdr:cNvSpPr/>
      </xdr:nvSpPr>
      <xdr:spPr>
        <a:xfrm>
          <a:off x="9831977" y="48958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135527</xdr:colOff>
      <xdr:row>29</xdr:row>
      <xdr:rowOff>19050</xdr:rowOff>
    </xdr:from>
    <xdr:to>
      <xdr:col>36</xdr:col>
      <xdr:colOff>135527</xdr:colOff>
      <xdr:row>29</xdr:row>
      <xdr:rowOff>19050</xdr:rowOff>
    </xdr:to>
    <xdr:cxnSp macro="">
      <xdr:nvCxnSpPr>
        <xdr:cNvPr id="28289" name="직선 화살표 연결선 28288">
          <a:extLst>
            <a:ext uri="{FF2B5EF4-FFF2-40B4-BE49-F238E27FC236}">
              <a16:creationId xmlns:a16="http://schemas.microsoft.com/office/drawing/2014/main" id="{7047E5A0-DC8C-433E-9F63-7D8948F9672B}"/>
            </a:ext>
          </a:extLst>
        </xdr:cNvPr>
        <xdr:cNvCxnSpPr/>
      </xdr:nvCxnSpPr>
      <xdr:spPr>
        <a:xfrm>
          <a:off x="9831977" y="4953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73478</xdr:colOff>
      <xdr:row>27</xdr:row>
      <xdr:rowOff>137160</xdr:rowOff>
    </xdr:from>
    <xdr:to>
      <xdr:col>38</xdr:col>
      <xdr:colOff>139337</xdr:colOff>
      <xdr:row>28</xdr:row>
      <xdr:rowOff>80010</xdr:rowOff>
    </xdr:to>
    <xdr:sp macro="" textlink="">
      <xdr:nvSpPr>
        <xdr:cNvPr id="28290" name="직사각형 28289">
          <a:extLst>
            <a:ext uri="{FF2B5EF4-FFF2-40B4-BE49-F238E27FC236}">
              <a16:creationId xmlns:a16="http://schemas.microsoft.com/office/drawing/2014/main" id="{9F88584B-FA34-4BCB-A0D1-E480841BC17C}"/>
            </a:ext>
          </a:extLst>
        </xdr:cNvPr>
        <xdr:cNvSpPr/>
      </xdr:nvSpPr>
      <xdr:spPr>
        <a:xfrm>
          <a:off x="9769928" y="4728210"/>
          <a:ext cx="351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73478</xdr:colOff>
      <xdr:row>28</xdr:row>
      <xdr:rowOff>22860</xdr:rowOff>
    </xdr:from>
    <xdr:to>
      <xdr:col>36</xdr:col>
      <xdr:colOff>73478</xdr:colOff>
      <xdr:row>28</xdr:row>
      <xdr:rowOff>22860</xdr:rowOff>
    </xdr:to>
    <xdr:cxnSp macro="">
      <xdr:nvCxnSpPr>
        <xdr:cNvPr id="28291" name="직선 화살표 연결선 28290">
          <a:extLst>
            <a:ext uri="{FF2B5EF4-FFF2-40B4-BE49-F238E27FC236}">
              <a16:creationId xmlns:a16="http://schemas.microsoft.com/office/drawing/2014/main" id="{70E5D28D-70F6-4198-84DB-BCD8AE509A67}"/>
            </a:ext>
          </a:extLst>
        </xdr:cNvPr>
        <xdr:cNvCxnSpPr/>
      </xdr:nvCxnSpPr>
      <xdr:spPr>
        <a:xfrm>
          <a:off x="9769928" y="47853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73478</xdr:colOff>
      <xdr:row>26</xdr:row>
      <xdr:rowOff>140970</xdr:rowOff>
    </xdr:from>
    <xdr:to>
      <xdr:col>38</xdr:col>
      <xdr:colOff>139337</xdr:colOff>
      <xdr:row>27</xdr:row>
      <xdr:rowOff>83820</xdr:rowOff>
    </xdr:to>
    <xdr:sp macro="" textlink="">
      <xdr:nvSpPr>
        <xdr:cNvPr id="28292" name="직사각형 28291">
          <a:extLst>
            <a:ext uri="{FF2B5EF4-FFF2-40B4-BE49-F238E27FC236}">
              <a16:creationId xmlns:a16="http://schemas.microsoft.com/office/drawing/2014/main" id="{53BD286A-B9B5-4799-96C3-EAFE5503341D}"/>
            </a:ext>
          </a:extLst>
        </xdr:cNvPr>
        <xdr:cNvSpPr/>
      </xdr:nvSpPr>
      <xdr:spPr>
        <a:xfrm>
          <a:off x="9769928" y="4560570"/>
          <a:ext cx="351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73478</xdr:colOff>
      <xdr:row>27</xdr:row>
      <xdr:rowOff>26670</xdr:rowOff>
    </xdr:from>
    <xdr:to>
      <xdr:col>36</xdr:col>
      <xdr:colOff>73478</xdr:colOff>
      <xdr:row>27</xdr:row>
      <xdr:rowOff>26670</xdr:rowOff>
    </xdr:to>
    <xdr:cxnSp macro="">
      <xdr:nvCxnSpPr>
        <xdr:cNvPr id="28293" name="직선 화살표 연결선 28292">
          <a:extLst>
            <a:ext uri="{FF2B5EF4-FFF2-40B4-BE49-F238E27FC236}">
              <a16:creationId xmlns:a16="http://schemas.microsoft.com/office/drawing/2014/main" id="{EB43E7FE-109A-4918-A34E-A29A3CA77387}"/>
            </a:ext>
          </a:extLst>
        </xdr:cNvPr>
        <xdr:cNvCxnSpPr/>
      </xdr:nvCxnSpPr>
      <xdr:spPr>
        <a:xfrm>
          <a:off x="9769928" y="4617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135527</xdr:colOff>
      <xdr:row>25</xdr:row>
      <xdr:rowOff>144780</xdr:rowOff>
    </xdr:from>
    <xdr:to>
      <xdr:col>38</xdr:col>
      <xdr:colOff>15240</xdr:colOff>
      <xdr:row>26</xdr:row>
      <xdr:rowOff>87630</xdr:rowOff>
    </xdr:to>
    <xdr:sp macro="" textlink="">
      <xdr:nvSpPr>
        <xdr:cNvPr id="28294" name="직사각형 28293">
          <a:extLst>
            <a:ext uri="{FF2B5EF4-FFF2-40B4-BE49-F238E27FC236}">
              <a16:creationId xmlns:a16="http://schemas.microsoft.com/office/drawing/2014/main" id="{EE52573D-A051-442A-BA52-742149EFAFEE}"/>
            </a:ext>
          </a:extLst>
        </xdr:cNvPr>
        <xdr:cNvSpPr/>
      </xdr:nvSpPr>
      <xdr:spPr>
        <a:xfrm>
          <a:off x="9831977" y="43929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135527</xdr:colOff>
      <xdr:row>26</xdr:row>
      <xdr:rowOff>30480</xdr:rowOff>
    </xdr:from>
    <xdr:to>
      <xdr:col>36</xdr:col>
      <xdr:colOff>135527</xdr:colOff>
      <xdr:row>26</xdr:row>
      <xdr:rowOff>30480</xdr:rowOff>
    </xdr:to>
    <xdr:cxnSp macro="">
      <xdr:nvCxnSpPr>
        <xdr:cNvPr id="28295" name="직선 화살표 연결선 28294">
          <a:extLst>
            <a:ext uri="{FF2B5EF4-FFF2-40B4-BE49-F238E27FC236}">
              <a16:creationId xmlns:a16="http://schemas.microsoft.com/office/drawing/2014/main" id="{21720776-E115-43E5-A174-ACB71FA09D3B}"/>
            </a:ext>
          </a:extLst>
        </xdr:cNvPr>
        <xdr:cNvCxnSpPr/>
      </xdr:nvCxnSpPr>
      <xdr:spPr>
        <a:xfrm>
          <a:off x="9831977" y="4450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114844</xdr:colOff>
      <xdr:row>24</xdr:row>
      <xdr:rowOff>148590</xdr:rowOff>
    </xdr:from>
    <xdr:to>
      <xdr:col>38</xdr:col>
      <xdr:colOff>139337</xdr:colOff>
      <xdr:row>25</xdr:row>
      <xdr:rowOff>91440</xdr:rowOff>
    </xdr:to>
    <xdr:sp macro="" textlink="">
      <xdr:nvSpPr>
        <xdr:cNvPr id="28296" name="직사각형 28295">
          <a:extLst>
            <a:ext uri="{FF2B5EF4-FFF2-40B4-BE49-F238E27FC236}">
              <a16:creationId xmlns:a16="http://schemas.microsoft.com/office/drawing/2014/main" id="{A51684B7-0D56-45B4-914F-DDC602471397}"/>
            </a:ext>
          </a:extLst>
        </xdr:cNvPr>
        <xdr:cNvSpPr/>
      </xdr:nvSpPr>
      <xdr:spPr>
        <a:xfrm>
          <a:off x="9811294" y="4225290"/>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114844</xdr:colOff>
      <xdr:row>25</xdr:row>
      <xdr:rowOff>34290</xdr:rowOff>
    </xdr:from>
    <xdr:to>
      <xdr:col>36</xdr:col>
      <xdr:colOff>130356</xdr:colOff>
      <xdr:row>25</xdr:row>
      <xdr:rowOff>34290</xdr:rowOff>
    </xdr:to>
    <xdr:cxnSp macro="">
      <xdr:nvCxnSpPr>
        <xdr:cNvPr id="28297" name="직선 화살표 연결선 28296">
          <a:extLst>
            <a:ext uri="{FF2B5EF4-FFF2-40B4-BE49-F238E27FC236}">
              <a16:creationId xmlns:a16="http://schemas.microsoft.com/office/drawing/2014/main" id="{2DC97EAE-FAF0-4D82-938F-B2A24C4E62EE}"/>
            </a:ext>
          </a:extLst>
        </xdr:cNvPr>
        <xdr:cNvCxnSpPr/>
      </xdr:nvCxnSpPr>
      <xdr:spPr>
        <a:xfrm>
          <a:off x="9811294" y="4282440"/>
          <a:ext cx="15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114844</xdr:colOff>
      <xdr:row>23</xdr:row>
      <xdr:rowOff>152400</xdr:rowOff>
    </xdr:from>
    <xdr:to>
      <xdr:col>38</xdr:col>
      <xdr:colOff>139337</xdr:colOff>
      <xdr:row>24</xdr:row>
      <xdr:rowOff>95250</xdr:rowOff>
    </xdr:to>
    <xdr:sp macro="" textlink="">
      <xdr:nvSpPr>
        <xdr:cNvPr id="28298" name="직사각형 28297">
          <a:extLst>
            <a:ext uri="{FF2B5EF4-FFF2-40B4-BE49-F238E27FC236}">
              <a16:creationId xmlns:a16="http://schemas.microsoft.com/office/drawing/2014/main" id="{2C5FCBB8-F3FD-41C1-8B63-C95A9292D173}"/>
            </a:ext>
          </a:extLst>
        </xdr:cNvPr>
        <xdr:cNvSpPr/>
      </xdr:nvSpPr>
      <xdr:spPr>
        <a:xfrm>
          <a:off x="9811294" y="4057650"/>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114844</xdr:colOff>
      <xdr:row>24</xdr:row>
      <xdr:rowOff>38100</xdr:rowOff>
    </xdr:from>
    <xdr:to>
      <xdr:col>36</xdr:col>
      <xdr:colOff>130356</xdr:colOff>
      <xdr:row>24</xdr:row>
      <xdr:rowOff>38100</xdr:rowOff>
    </xdr:to>
    <xdr:cxnSp macro="">
      <xdr:nvCxnSpPr>
        <xdr:cNvPr id="28299" name="직선 화살표 연결선 28298">
          <a:extLst>
            <a:ext uri="{FF2B5EF4-FFF2-40B4-BE49-F238E27FC236}">
              <a16:creationId xmlns:a16="http://schemas.microsoft.com/office/drawing/2014/main" id="{278CFBED-8E88-4E6E-A5B9-F56028926D0D}"/>
            </a:ext>
          </a:extLst>
        </xdr:cNvPr>
        <xdr:cNvCxnSpPr/>
      </xdr:nvCxnSpPr>
      <xdr:spPr>
        <a:xfrm>
          <a:off x="9811294" y="4114800"/>
          <a:ext cx="15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94162</xdr:colOff>
      <xdr:row>22</xdr:row>
      <xdr:rowOff>156210</xdr:rowOff>
    </xdr:from>
    <xdr:to>
      <xdr:col>36</xdr:col>
      <xdr:colOff>114844</xdr:colOff>
      <xdr:row>23</xdr:row>
      <xdr:rowOff>99060</xdr:rowOff>
    </xdr:to>
    <xdr:sp macro="" textlink="">
      <xdr:nvSpPr>
        <xdr:cNvPr id="28300" name="직사각형 28299">
          <a:extLst>
            <a:ext uri="{FF2B5EF4-FFF2-40B4-BE49-F238E27FC236}">
              <a16:creationId xmlns:a16="http://schemas.microsoft.com/office/drawing/2014/main" id="{48521FF8-C5D9-4324-A4E1-E2295CEA322B}"/>
            </a:ext>
          </a:extLst>
        </xdr:cNvPr>
        <xdr:cNvSpPr/>
      </xdr:nvSpPr>
      <xdr:spPr>
        <a:xfrm>
          <a:off x="9790612" y="389001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94162</xdr:colOff>
      <xdr:row>23</xdr:row>
      <xdr:rowOff>41910</xdr:rowOff>
    </xdr:from>
    <xdr:to>
      <xdr:col>36</xdr:col>
      <xdr:colOff>114844</xdr:colOff>
      <xdr:row>23</xdr:row>
      <xdr:rowOff>41910</xdr:rowOff>
    </xdr:to>
    <xdr:cxnSp macro="">
      <xdr:nvCxnSpPr>
        <xdr:cNvPr id="28301" name="직선 화살표 연결선 28300">
          <a:extLst>
            <a:ext uri="{FF2B5EF4-FFF2-40B4-BE49-F238E27FC236}">
              <a16:creationId xmlns:a16="http://schemas.microsoft.com/office/drawing/2014/main" id="{5742D1D9-3221-4D44-8496-5E3A87AD3E83}"/>
            </a:ext>
          </a:extLst>
        </xdr:cNvPr>
        <xdr:cNvCxnSpPr/>
      </xdr:nvCxnSpPr>
      <xdr:spPr>
        <a:xfrm>
          <a:off x="9790612" y="394716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94162</xdr:colOff>
      <xdr:row>21</xdr:row>
      <xdr:rowOff>140970</xdr:rowOff>
    </xdr:from>
    <xdr:to>
      <xdr:col>38</xdr:col>
      <xdr:colOff>139337</xdr:colOff>
      <xdr:row>22</xdr:row>
      <xdr:rowOff>102870</xdr:rowOff>
    </xdr:to>
    <xdr:sp macro="" textlink="">
      <xdr:nvSpPr>
        <xdr:cNvPr id="28302" name="직사각형 28301">
          <a:extLst>
            <a:ext uri="{FF2B5EF4-FFF2-40B4-BE49-F238E27FC236}">
              <a16:creationId xmlns:a16="http://schemas.microsoft.com/office/drawing/2014/main" id="{0F41F58C-5060-4C63-98FD-9F6F874C90BB}"/>
            </a:ext>
          </a:extLst>
        </xdr:cNvPr>
        <xdr:cNvSpPr/>
      </xdr:nvSpPr>
      <xdr:spPr>
        <a:xfrm>
          <a:off x="9790612" y="372237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94162</xdr:colOff>
      <xdr:row>22</xdr:row>
      <xdr:rowOff>45720</xdr:rowOff>
    </xdr:from>
    <xdr:to>
      <xdr:col>36</xdr:col>
      <xdr:colOff>115341</xdr:colOff>
      <xdr:row>22</xdr:row>
      <xdr:rowOff>45720</xdr:rowOff>
    </xdr:to>
    <xdr:cxnSp macro="">
      <xdr:nvCxnSpPr>
        <xdr:cNvPr id="28303" name="직선 화살표 연결선 28302">
          <a:extLst>
            <a:ext uri="{FF2B5EF4-FFF2-40B4-BE49-F238E27FC236}">
              <a16:creationId xmlns:a16="http://schemas.microsoft.com/office/drawing/2014/main" id="{713F9EB3-5D60-41A7-9E81-2623F27DBB6F}"/>
            </a:ext>
          </a:extLst>
        </xdr:cNvPr>
        <xdr:cNvCxnSpPr/>
      </xdr:nvCxnSpPr>
      <xdr:spPr>
        <a:xfrm>
          <a:off x="9790612" y="3779520"/>
          <a:ext cx="211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73478</xdr:colOff>
      <xdr:row>20</xdr:row>
      <xdr:rowOff>152400</xdr:rowOff>
    </xdr:from>
    <xdr:to>
      <xdr:col>38</xdr:col>
      <xdr:colOff>139337</xdr:colOff>
      <xdr:row>21</xdr:row>
      <xdr:rowOff>95250</xdr:rowOff>
    </xdr:to>
    <xdr:sp macro="" textlink="">
      <xdr:nvSpPr>
        <xdr:cNvPr id="28304" name="직사각형 28303">
          <a:extLst>
            <a:ext uri="{FF2B5EF4-FFF2-40B4-BE49-F238E27FC236}">
              <a16:creationId xmlns:a16="http://schemas.microsoft.com/office/drawing/2014/main" id="{BBFF4331-4577-4CE3-A099-2AE5F9E030D8}"/>
            </a:ext>
          </a:extLst>
        </xdr:cNvPr>
        <xdr:cNvSpPr/>
      </xdr:nvSpPr>
      <xdr:spPr>
        <a:xfrm>
          <a:off x="9769928" y="3562350"/>
          <a:ext cx="351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73478</xdr:colOff>
      <xdr:row>21</xdr:row>
      <xdr:rowOff>38100</xdr:rowOff>
    </xdr:from>
    <xdr:to>
      <xdr:col>36</xdr:col>
      <xdr:colOff>83524</xdr:colOff>
      <xdr:row>21</xdr:row>
      <xdr:rowOff>38100</xdr:rowOff>
    </xdr:to>
    <xdr:cxnSp macro="">
      <xdr:nvCxnSpPr>
        <xdr:cNvPr id="28305" name="직선 화살표 연결선 28304">
          <a:extLst>
            <a:ext uri="{FF2B5EF4-FFF2-40B4-BE49-F238E27FC236}">
              <a16:creationId xmlns:a16="http://schemas.microsoft.com/office/drawing/2014/main" id="{E823C67B-4183-47B9-9C5E-7CACC3BE2723}"/>
            </a:ext>
          </a:extLst>
        </xdr:cNvPr>
        <xdr:cNvCxnSpPr/>
      </xdr:nvCxnSpPr>
      <xdr:spPr>
        <a:xfrm>
          <a:off x="9769928" y="3619500"/>
          <a:ext cx="100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73478</xdr:colOff>
      <xdr:row>19</xdr:row>
      <xdr:rowOff>163830</xdr:rowOff>
    </xdr:from>
    <xdr:to>
      <xdr:col>50</xdr:col>
      <xdr:colOff>100149</xdr:colOff>
      <xdr:row>20</xdr:row>
      <xdr:rowOff>106680</xdr:rowOff>
    </xdr:to>
    <xdr:sp macro="" textlink="">
      <xdr:nvSpPr>
        <xdr:cNvPr id="28306" name="직사각형 28305">
          <a:extLst>
            <a:ext uri="{FF2B5EF4-FFF2-40B4-BE49-F238E27FC236}">
              <a16:creationId xmlns:a16="http://schemas.microsoft.com/office/drawing/2014/main" id="{F9930C96-DE74-44F8-824D-59556757FEF7}"/>
            </a:ext>
          </a:extLst>
        </xdr:cNvPr>
        <xdr:cNvSpPr/>
      </xdr:nvSpPr>
      <xdr:spPr>
        <a:xfrm>
          <a:off x="9769928" y="3402330"/>
          <a:ext cx="20269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73478</xdr:colOff>
      <xdr:row>20</xdr:row>
      <xdr:rowOff>49530</xdr:rowOff>
    </xdr:from>
    <xdr:to>
      <xdr:col>36</xdr:col>
      <xdr:colOff>93314</xdr:colOff>
      <xdr:row>20</xdr:row>
      <xdr:rowOff>49530</xdr:rowOff>
    </xdr:to>
    <xdr:cxnSp macro="">
      <xdr:nvCxnSpPr>
        <xdr:cNvPr id="28307" name="직선 화살표 연결선 28306">
          <a:extLst>
            <a:ext uri="{FF2B5EF4-FFF2-40B4-BE49-F238E27FC236}">
              <a16:creationId xmlns:a16="http://schemas.microsoft.com/office/drawing/2014/main" id="{97D76243-A67E-4DE7-BE4A-7F612E20A6BF}"/>
            </a:ext>
          </a:extLst>
        </xdr:cNvPr>
        <xdr:cNvCxnSpPr/>
      </xdr:nvCxnSpPr>
      <xdr:spPr>
        <a:xfrm>
          <a:off x="9769928" y="3459480"/>
          <a:ext cx="198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109129</xdr:colOff>
      <xdr:row>18</xdr:row>
      <xdr:rowOff>148590</xdr:rowOff>
    </xdr:from>
    <xdr:to>
      <xdr:col>36</xdr:col>
      <xdr:colOff>94162</xdr:colOff>
      <xdr:row>19</xdr:row>
      <xdr:rowOff>110490</xdr:rowOff>
    </xdr:to>
    <xdr:sp macro="" textlink="">
      <xdr:nvSpPr>
        <xdr:cNvPr id="28308" name="직사각형 28307">
          <a:extLst>
            <a:ext uri="{FF2B5EF4-FFF2-40B4-BE49-F238E27FC236}">
              <a16:creationId xmlns:a16="http://schemas.microsoft.com/office/drawing/2014/main" id="{13BDEB3F-D74C-4536-A104-A8C8C915424D}"/>
            </a:ext>
          </a:extLst>
        </xdr:cNvPr>
        <xdr:cNvSpPr/>
      </xdr:nvSpPr>
      <xdr:spPr>
        <a:xfrm>
          <a:off x="9376954" y="3234690"/>
          <a:ext cx="4136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109129</xdr:colOff>
      <xdr:row>19</xdr:row>
      <xdr:rowOff>53340</xdr:rowOff>
    </xdr:from>
    <xdr:to>
      <xdr:col>36</xdr:col>
      <xdr:colOff>94162</xdr:colOff>
      <xdr:row>19</xdr:row>
      <xdr:rowOff>53340</xdr:rowOff>
    </xdr:to>
    <xdr:cxnSp macro="">
      <xdr:nvCxnSpPr>
        <xdr:cNvPr id="28309" name="직선 화살표 연결선 28308">
          <a:extLst>
            <a:ext uri="{FF2B5EF4-FFF2-40B4-BE49-F238E27FC236}">
              <a16:creationId xmlns:a16="http://schemas.microsoft.com/office/drawing/2014/main" id="{13BDB3EC-A582-485B-ACFA-02F468FD77E2}"/>
            </a:ext>
          </a:extLst>
        </xdr:cNvPr>
        <xdr:cNvCxnSpPr/>
      </xdr:nvCxnSpPr>
      <xdr:spPr>
        <a:xfrm>
          <a:off x="9376954" y="32918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107224</xdr:colOff>
      <xdr:row>17</xdr:row>
      <xdr:rowOff>140970</xdr:rowOff>
    </xdr:from>
    <xdr:to>
      <xdr:col>36</xdr:col>
      <xdr:colOff>94162</xdr:colOff>
      <xdr:row>18</xdr:row>
      <xdr:rowOff>102870</xdr:rowOff>
    </xdr:to>
    <xdr:sp macro="" textlink="">
      <xdr:nvSpPr>
        <xdr:cNvPr id="28310" name="직사각형 28309">
          <a:extLst>
            <a:ext uri="{FF2B5EF4-FFF2-40B4-BE49-F238E27FC236}">
              <a16:creationId xmlns:a16="http://schemas.microsoft.com/office/drawing/2014/main" id="{5E2618E7-059D-4C8B-B6D1-11D8B2CD10FC}"/>
            </a:ext>
          </a:extLst>
        </xdr:cNvPr>
        <xdr:cNvSpPr/>
      </xdr:nvSpPr>
      <xdr:spPr>
        <a:xfrm>
          <a:off x="9232174" y="3074670"/>
          <a:ext cx="5584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107224</xdr:colOff>
      <xdr:row>18</xdr:row>
      <xdr:rowOff>45720</xdr:rowOff>
    </xdr:from>
    <xdr:to>
      <xdr:col>36</xdr:col>
      <xdr:colOff>94162</xdr:colOff>
      <xdr:row>18</xdr:row>
      <xdr:rowOff>45720</xdr:rowOff>
    </xdr:to>
    <xdr:cxnSp macro="">
      <xdr:nvCxnSpPr>
        <xdr:cNvPr id="28311" name="직선 화살표 연결선 28310">
          <a:extLst>
            <a:ext uri="{FF2B5EF4-FFF2-40B4-BE49-F238E27FC236}">
              <a16:creationId xmlns:a16="http://schemas.microsoft.com/office/drawing/2014/main" id="{EEE16212-0544-460F-ADBF-CCDC91B64794}"/>
            </a:ext>
          </a:extLst>
        </xdr:cNvPr>
        <xdr:cNvCxnSpPr/>
      </xdr:nvCxnSpPr>
      <xdr:spPr>
        <a:xfrm>
          <a:off x="9232174" y="3131820"/>
          <a:ext cx="5584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109129</xdr:colOff>
      <xdr:row>16</xdr:row>
      <xdr:rowOff>160020</xdr:rowOff>
    </xdr:from>
    <xdr:to>
      <xdr:col>35</xdr:col>
      <xdr:colOff>92256</xdr:colOff>
      <xdr:row>17</xdr:row>
      <xdr:rowOff>102870</xdr:rowOff>
    </xdr:to>
    <xdr:sp macro="" textlink="">
      <xdr:nvSpPr>
        <xdr:cNvPr id="28312" name="직사각형 28311">
          <a:extLst>
            <a:ext uri="{FF2B5EF4-FFF2-40B4-BE49-F238E27FC236}">
              <a16:creationId xmlns:a16="http://schemas.microsoft.com/office/drawing/2014/main" id="{FE950D3E-CB92-45EA-8D9D-C27EC5BC646C}"/>
            </a:ext>
          </a:extLst>
        </xdr:cNvPr>
        <xdr:cNvSpPr/>
      </xdr:nvSpPr>
      <xdr:spPr>
        <a:xfrm>
          <a:off x="9376954" y="2922270"/>
          <a:ext cx="2688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109129</xdr:colOff>
      <xdr:row>17</xdr:row>
      <xdr:rowOff>45720</xdr:rowOff>
    </xdr:from>
    <xdr:to>
      <xdr:col>35</xdr:col>
      <xdr:colOff>92256</xdr:colOff>
      <xdr:row>17</xdr:row>
      <xdr:rowOff>45720</xdr:rowOff>
    </xdr:to>
    <xdr:cxnSp macro="">
      <xdr:nvCxnSpPr>
        <xdr:cNvPr id="28313" name="직선 화살표 연결선 28312">
          <a:extLst>
            <a:ext uri="{FF2B5EF4-FFF2-40B4-BE49-F238E27FC236}">
              <a16:creationId xmlns:a16="http://schemas.microsoft.com/office/drawing/2014/main" id="{C8B2CB67-93DD-405E-B769-B6F5104EF33A}"/>
            </a:ext>
          </a:extLst>
        </xdr:cNvPr>
        <xdr:cNvCxnSpPr/>
      </xdr:nvCxnSpPr>
      <xdr:spPr>
        <a:xfrm>
          <a:off x="9376954" y="2979420"/>
          <a:ext cx="2688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16</xdr:row>
      <xdr:rowOff>0</xdr:rowOff>
    </xdr:from>
    <xdr:to>
      <xdr:col>34</xdr:col>
      <xdr:colOff>111034</xdr:colOff>
      <xdr:row>16</xdr:row>
      <xdr:rowOff>114300</xdr:rowOff>
    </xdr:to>
    <xdr:sp macro="" textlink="">
      <xdr:nvSpPr>
        <xdr:cNvPr id="28314" name="직사각형 28313">
          <a:extLst>
            <a:ext uri="{FF2B5EF4-FFF2-40B4-BE49-F238E27FC236}">
              <a16:creationId xmlns:a16="http://schemas.microsoft.com/office/drawing/2014/main" id="{1E45C86D-9886-4E7D-A8E0-69716905FDB6}"/>
            </a:ext>
          </a:extLst>
        </xdr:cNvPr>
        <xdr:cNvSpPr/>
      </xdr:nvSpPr>
      <xdr:spPr>
        <a:xfrm>
          <a:off x="9190809" y="2762250"/>
          <a:ext cx="3309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16</xdr:row>
      <xdr:rowOff>57150</xdr:rowOff>
    </xdr:from>
    <xdr:to>
      <xdr:col>34</xdr:col>
      <xdr:colOff>111034</xdr:colOff>
      <xdr:row>16</xdr:row>
      <xdr:rowOff>57150</xdr:rowOff>
    </xdr:to>
    <xdr:cxnSp macro="">
      <xdr:nvCxnSpPr>
        <xdr:cNvPr id="28315" name="직선 화살표 연결선 28314">
          <a:extLst>
            <a:ext uri="{FF2B5EF4-FFF2-40B4-BE49-F238E27FC236}">
              <a16:creationId xmlns:a16="http://schemas.microsoft.com/office/drawing/2014/main" id="{83F35876-040E-436D-97D6-89EC70E8E11E}"/>
            </a:ext>
          </a:extLst>
        </xdr:cNvPr>
        <xdr:cNvCxnSpPr/>
      </xdr:nvCxnSpPr>
      <xdr:spPr>
        <a:xfrm>
          <a:off x="9190809" y="2819400"/>
          <a:ext cx="3309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129812</xdr:colOff>
      <xdr:row>15</xdr:row>
      <xdr:rowOff>3810</xdr:rowOff>
    </xdr:from>
    <xdr:to>
      <xdr:col>34</xdr:col>
      <xdr:colOff>111034</xdr:colOff>
      <xdr:row>15</xdr:row>
      <xdr:rowOff>118110</xdr:rowOff>
    </xdr:to>
    <xdr:sp macro="" textlink="">
      <xdr:nvSpPr>
        <xdr:cNvPr id="28316" name="직사각형 28315">
          <a:extLst>
            <a:ext uri="{FF2B5EF4-FFF2-40B4-BE49-F238E27FC236}">
              <a16:creationId xmlns:a16="http://schemas.microsoft.com/office/drawing/2014/main" id="{A20B5619-9E50-47DE-B70E-5CE1FEF3932C}"/>
            </a:ext>
          </a:extLst>
        </xdr:cNvPr>
        <xdr:cNvSpPr/>
      </xdr:nvSpPr>
      <xdr:spPr>
        <a:xfrm>
          <a:off x="9397637" y="259461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129812</xdr:colOff>
      <xdr:row>15</xdr:row>
      <xdr:rowOff>60960</xdr:rowOff>
    </xdr:from>
    <xdr:to>
      <xdr:col>34</xdr:col>
      <xdr:colOff>111034</xdr:colOff>
      <xdr:row>15</xdr:row>
      <xdr:rowOff>60960</xdr:rowOff>
    </xdr:to>
    <xdr:cxnSp macro="">
      <xdr:nvCxnSpPr>
        <xdr:cNvPr id="28317" name="직선 화살표 연결선 28316">
          <a:extLst>
            <a:ext uri="{FF2B5EF4-FFF2-40B4-BE49-F238E27FC236}">
              <a16:creationId xmlns:a16="http://schemas.microsoft.com/office/drawing/2014/main" id="{D2F96841-5864-441E-A599-4297CE0BA7B6}"/>
            </a:ext>
          </a:extLst>
        </xdr:cNvPr>
        <xdr:cNvCxnSpPr/>
      </xdr:nvCxnSpPr>
      <xdr:spPr>
        <a:xfrm>
          <a:off x="9397637" y="265176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47081</xdr:colOff>
      <xdr:row>14</xdr:row>
      <xdr:rowOff>7620</xdr:rowOff>
    </xdr:from>
    <xdr:to>
      <xdr:col>33</xdr:col>
      <xdr:colOff>129812</xdr:colOff>
      <xdr:row>14</xdr:row>
      <xdr:rowOff>121920</xdr:rowOff>
    </xdr:to>
    <xdr:sp macro="" textlink="">
      <xdr:nvSpPr>
        <xdr:cNvPr id="28318" name="직사각형 28317">
          <a:extLst>
            <a:ext uri="{FF2B5EF4-FFF2-40B4-BE49-F238E27FC236}">
              <a16:creationId xmlns:a16="http://schemas.microsoft.com/office/drawing/2014/main" id="{8E191226-4D1E-405C-A1C5-A20E4450C169}"/>
            </a:ext>
          </a:extLst>
        </xdr:cNvPr>
        <xdr:cNvSpPr/>
      </xdr:nvSpPr>
      <xdr:spPr>
        <a:xfrm>
          <a:off x="9314906" y="242697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47081</xdr:colOff>
      <xdr:row>14</xdr:row>
      <xdr:rowOff>64770</xdr:rowOff>
    </xdr:from>
    <xdr:to>
      <xdr:col>33</xdr:col>
      <xdr:colOff>129812</xdr:colOff>
      <xdr:row>14</xdr:row>
      <xdr:rowOff>64770</xdr:rowOff>
    </xdr:to>
    <xdr:cxnSp macro="">
      <xdr:nvCxnSpPr>
        <xdr:cNvPr id="28319" name="직선 화살표 연결선 28318">
          <a:extLst>
            <a:ext uri="{FF2B5EF4-FFF2-40B4-BE49-F238E27FC236}">
              <a16:creationId xmlns:a16="http://schemas.microsoft.com/office/drawing/2014/main" id="{711461B5-2FEA-44B7-AC99-3CF8916FEF3F}"/>
            </a:ext>
          </a:extLst>
        </xdr:cNvPr>
        <xdr:cNvCxnSpPr/>
      </xdr:nvCxnSpPr>
      <xdr:spPr>
        <a:xfrm>
          <a:off x="9314906" y="248412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13</xdr:row>
      <xdr:rowOff>11430</xdr:rowOff>
    </xdr:from>
    <xdr:to>
      <xdr:col>33</xdr:col>
      <xdr:colOff>47081</xdr:colOff>
      <xdr:row>13</xdr:row>
      <xdr:rowOff>125730</xdr:rowOff>
    </xdr:to>
    <xdr:sp macro="" textlink="">
      <xdr:nvSpPr>
        <xdr:cNvPr id="28320" name="직사각형 28319">
          <a:extLst>
            <a:ext uri="{FF2B5EF4-FFF2-40B4-BE49-F238E27FC236}">
              <a16:creationId xmlns:a16="http://schemas.microsoft.com/office/drawing/2014/main" id="{A9A2A68D-E8E0-470C-8E33-D72B783399CB}"/>
            </a:ext>
          </a:extLst>
        </xdr:cNvPr>
        <xdr:cNvSpPr/>
      </xdr:nvSpPr>
      <xdr:spPr>
        <a:xfrm>
          <a:off x="9190809" y="22593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13</xdr:row>
      <xdr:rowOff>68580</xdr:rowOff>
    </xdr:from>
    <xdr:to>
      <xdr:col>33</xdr:col>
      <xdr:colOff>47081</xdr:colOff>
      <xdr:row>13</xdr:row>
      <xdr:rowOff>68580</xdr:rowOff>
    </xdr:to>
    <xdr:cxnSp macro="">
      <xdr:nvCxnSpPr>
        <xdr:cNvPr id="28321" name="직선 화살표 연결선 28320">
          <a:extLst>
            <a:ext uri="{FF2B5EF4-FFF2-40B4-BE49-F238E27FC236}">
              <a16:creationId xmlns:a16="http://schemas.microsoft.com/office/drawing/2014/main" id="{0822FD70-4BAB-44D4-BD6E-6F81AA0C1948}"/>
            </a:ext>
          </a:extLst>
        </xdr:cNvPr>
        <xdr:cNvCxnSpPr/>
      </xdr:nvCxnSpPr>
      <xdr:spPr>
        <a:xfrm>
          <a:off x="9190809" y="23164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12</xdr:row>
      <xdr:rowOff>15240</xdr:rowOff>
    </xdr:from>
    <xdr:to>
      <xdr:col>34</xdr:col>
      <xdr:colOff>111034</xdr:colOff>
      <xdr:row>12</xdr:row>
      <xdr:rowOff>129540</xdr:rowOff>
    </xdr:to>
    <xdr:sp macro="" textlink="">
      <xdr:nvSpPr>
        <xdr:cNvPr id="28322" name="직사각형 28321">
          <a:extLst>
            <a:ext uri="{FF2B5EF4-FFF2-40B4-BE49-F238E27FC236}">
              <a16:creationId xmlns:a16="http://schemas.microsoft.com/office/drawing/2014/main" id="{802CE9DE-3ACE-4942-99BB-8D33569E999D}"/>
            </a:ext>
          </a:extLst>
        </xdr:cNvPr>
        <xdr:cNvSpPr/>
      </xdr:nvSpPr>
      <xdr:spPr>
        <a:xfrm>
          <a:off x="9190809" y="209169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12</xdr:row>
      <xdr:rowOff>72390</xdr:rowOff>
    </xdr:from>
    <xdr:to>
      <xdr:col>34</xdr:col>
      <xdr:colOff>111034</xdr:colOff>
      <xdr:row>12</xdr:row>
      <xdr:rowOff>72390</xdr:rowOff>
    </xdr:to>
    <xdr:cxnSp macro="">
      <xdr:nvCxnSpPr>
        <xdr:cNvPr id="28323" name="직선 화살표 연결선 28322">
          <a:extLst>
            <a:ext uri="{FF2B5EF4-FFF2-40B4-BE49-F238E27FC236}">
              <a16:creationId xmlns:a16="http://schemas.microsoft.com/office/drawing/2014/main" id="{F75ED4BE-848E-4CC2-B972-7EFA8CA68E11}"/>
            </a:ext>
          </a:extLst>
        </xdr:cNvPr>
        <xdr:cNvCxnSpPr/>
      </xdr:nvCxnSpPr>
      <xdr:spPr>
        <a:xfrm>
          <a:off x="9190809" y="2148840"/>
          <a:ext cx="3309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11</xdr:row>
      <xdr:rowOff>19050</xdr:rowOff>
    </xdr:from>
    <xdr:to>
      <xdr:col>36</xdr:col>
      <xdr:colOff>94162</xdr:colOff>
      <xdr:row>11</xdr:row>
      <xdr:rowOff>133350</xdr:rowOff>
    </xdr:to>
    <xdr:sp macro="" textlink="">
      <xdr:nvSpPr>
        <xdr:cNvPr id="28324" name="직사각형 28323">
          <a:extLst>
            <a:ext uri="{FF2B5EF4-FFF2-40B4-BE49-F238E27FC236}">
              <a16:creationId xmlns:a16="http://schemas.microsoft.com/office/drawing/2014/main" id="{9637B7DC-A877-482B-8C59-6194A47E1CBC}"/>
            </a:ext>
          </a:extLst>
        </xdr:cNvPr>
        <xdr:cNvSpPr/>
      </xdr:nvSpPr>
      <xdr:spPr>
        <a:xfrm>
          <a:off x="9190809" y="1924050"/>
          <a:ext cx="599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11</xdr:row>
      <xdr:rowOff>76200</xdr:rowOff>
    </xdr:from>
    <xdr:to>
      <xdr:col>36</xdr:col>
      <xdr:colOff>94162</xdr:colOff>
      <xdr:row>11</xdr:row>
      <xdr:rowOff>76200</xdr:rowOff>
    </xdr:to>
    <xdr:cxnSp macro="">
      <xdr:nvCxnSpPr>
        <xdr:cNvPr id="28325" name="직선 화살표 연결선 28324">
          <a:extLst>
            <a:ext uri="{FF2B5EF4-FFF2-40B4-BE49-F238E27FC236}">
              <a16:creationId xmlns:a16="http://schemas.microsoft.com/office/drawing/2014/main" id="{AEE8E6A4-0952-41FD-B420-3BC6689059FC}"/>
            </a:ext>
          </a:extLst>
        </xdr:cNvPr>
        <xdr:cNvCxnSpPr/>
      </xdr:nvCxnSpPr>
      <xdr:spPr>
        <a:xfrm>
          <a:off x="9190809" y="1981200"/>
          <a:ext cx="599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10</xdr:row>
      <xdr:rowOff>22860</xdr:rowOff>
    </xdr:from>
    <xdr:to>
      <xdr:col>31</xdr:col>
      <xdr:colOff>84637</xdr:colOff>
      <xdr:row>10</xdr:row>
      <xdr:rowOff>137160</xdr:rowOff>
    </xdr:to>
    <xdr:sp macro="" textlink="">
      <xdr:nvSpPr>
        <xdr:cNvPr id="28326" name="직사각형 28325">
          <a:extLst>
            <a:ext uri="{FF2B5EF4-FFF2-40B4-BE49-F238E27FC236}">
              <a16:creationId xmlns:a16="http://schemas.microsoft.com/office/drawing/2014/main" id="{F8676A29-B358-421A-AE9F-23CFCE7C2A40}"/>
            </a:ext>
          </a:extLst>
        </xdr:cNvPr>
        <xdr:cNvSpPr/>
      </xdr:nvSpPr>
      <xdr:spPr>
        <a:xfrm>
          <a:off x="8901249" y="175641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10</xdr:row>
      <xdr:rowOff>80010</xdr:rowOff>
    </xdr:from>
    <xdr:to>
      <xdr:col>31</xdr:col>
      <xdr:colOff>84637</xdr:colOff>
      <xdr:row>10</xdr:row>
      <xdr:rowOff>80010</xdr:rowOff>
    </xdr:to>
    <xdr:cxnSp macro="">
      <xdr:nvCxnSpPr>
        <xdr:cNvPr id="28327" name="직선 화살표 연결선 28326">
          <a:extLst>
            <a:ext uri="{FF2B5EF4-FFF2-40B4-BE49-F238E27FC236}">
              <a16:creationId xmlns:a16="http://schemas.microsoft.com/office/drawing/2014/main" id="{ECBFF057-1041-4D7A-8023-D7D9AD7AAC21}"/>
            </a:ext>
          </a:extLst>
        </xdr:cNvPr>
        <xdr:cNvCxnSpPr/>
      </xdr:nvCxnSpPr>
      <xdr:spPr>
        <a:xfrm>
          <a:off x="8901249" y="181356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9</xdr:row>
      <xdr:rowOff>26670</xdr:rowOff>
    </xdr:from>
    <xdr:to>
      <xdr:col>31</xdr:col>
      <xdr:colOff>84637</xdr:colOff>
      <xdr:row>9</xdr:row>
      <xdr:rowOff>140970</xdr:rowOff>
    </xdr:to>
    <xdr:sp macro="" textlink="">
      <xdr:nvSpPr>
        <xdr:cNvPr id="28328" name="직사각형 28327">
          <a:extLst>
            <a:ext uri="{FF2B5EF4-FFF2-40B4-BE49-F238E27FC236}">
              <a16:creationId xmlns:a16="http://schemas.microsoft.com/office/drawing/2014/main" id="{69BBDF18-015A-4990-85D3-2208E5502381}"/>
            </a:ext>
          </a:extLst>
        </xdr:cNvPr>
        <xdr:cNvSpPr/>
      </xdr:nvSpPr>
      <xdr:spPr>
        <a:xfrm>
          <a:off x="8901249" y="158877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9</xdr:row>
      <xdr:rowOff>83820</xdr:rowOff>
    </xdr:from>
    <xdr:to>
      <xdr:col>31</xdr:col>
      <xdr:colOff>84637</xdr:colOff>
      <xdr:row>9</xdr:row>
      <xdr:rowOff>83820</xdr:rowOff>
    </xdr:to>
    <xdr:cxnSp macro="">
      <xdr:nvCxnSpPr>
        <xdr:cNvPr id="28329" name="직선 화살표 연결선 28328">
          <a:extLst>
            <a:ext uri="{FF2B5EF4-FFF2-40B4-BE49-F238E27FC236}">
              <a16:creationId xmlns:a16="http://schemas.microsoft.com/office/drawing/2014/main" id="{80E3CCD6-7C1F-4D8F-B84C-A20EA440FBBA}"/>
            </a:ext>
          </a:extLst>
        </xdr:cNvPr>
        <xdr:cNvCxnSpPr/>
      </xdr:nvCxnSpPr>
      <xdr:spPr>
        <a:xfrm>
          <a:off x="8901249" y="164592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8</xdr:row>
      <xdr:rowOff>19050</xdr:rowOff>
    </xdr:from>
    <xdr:to>
      <xdr:col>31</xdr:col>
      <xdr:colOff>84637</xdr:colOff>
      <xdr:row>8</xdr:row>
      <xdr:rowOff>133350</xdr:rowOff>
    </xdr:to>
    <xdr:sp macro="" textlink="">
      <xdr:nvSpPr>
        <xdr:cNvPr id="28330" name="직사각형 28329">
          <a:extLst>
            <a:ext uri="{FF2B5EF4-FFF2-40B4-BE49-F238E27FC236}">
              <a16:creationId xmlns:a16="http://schemas.microsoft.com/office/drawing/2014/main" id="{9A9C78B8-D075-4AF4-A9E8-1D612F08CCDD}"/>
            </a:ext>
          </a:extLst>
        </xdr:cNvPr>
        <xdr:cNvSpPr/>
      </xdr:nvSpPr>
      <xdr:spPr>
        <a:xfrm>
          <a:off x="8901249" y="142875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8</xdr:row>
      <xdr:rowOff>76200</xdr:rowOff>
    </xdr:from>
    <xdr:to>
      <xdr:col>31</xdr:col>
      <xdr:colOff>84637</xdr:colOff>
      <xdr:row>8</xdr:row>
      <xdr:rowOff>76200</xdr:rowOff>
    </xdr:to>
    <xdr:cxnSp macro="">
      <xdr:nvCxnSpPr>
        <xdr:cNvPr id="28331" name="직선 화살표 연결선 28330">
          <a:extLst>
            <a:ext uri="{FF2B5EF4-FFF2-40B4-BE49-F238E27FC236}">
              <a16:creationId xmlns:a16="http://schemas.microsoft.com/office/drawing/2014/main" id="{D06AF867-C8A3-433E-937D-C2D524B669DA}"/>
            </a:ext>
          </a:extLst>
        </xdr:cNvPr>
        <xdr:cNvCxnSpPr/>
      </xdr:nvCxnSpPr>
      <xdr:spPr>
        <a:xfrm>
          <a:off x="8901249" y="148590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7</xdr:row>
      <xdr:rowOff>30480</xdr:rowOff>
    </xdr:from>
    <xdr:to>
      <xdr:col>31</xdr:col>
      <xdr:colOff>84637</xdr:colOff>
      <xdr:row>7</xdr:row>
      <xdr:rowOff>144780</xdr:rowOff>
    </xdr:to>
    <xdr:sp macro="" textlink="">
      <xdr:nvSpPr>
        <xdr:cNvPr id="28332" name="직사각형 28331">
          <a:extLst>
            <a:ext uri="{FF2B5EF4-FFF2-40B4-BE49-F238E27FC236}">
              <a16:creationId xmlns:a16="http://schemas.microsoft.com/office/drawing/2014/main" id="{7CC1DEFE-F11E-4828-B8AD-8BF23104855F}"/>
            </a:ext>
          </a:extLst>
        </xdr:cNvPr>
        <xdr:cNvSpPr/>
      </xdr:nvSpPr>
      <xdr:spPr>
        <a:xfrm>
          <a:off x="8901249" y="12687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7</xdr:row>
      <xdr:rowOff>87630</xdr:rowOff>
    </xdr:from>
    <xdr:to>
      <xdr:col>31</xdr:col>
      <xdr:colOff>84637</xdr:colOff>
      <xdr:row>7</xdr:row>
      <xdr:rowOff>87630</xdr:rowOff>
    </xdr:to>
    <xdr:cxnSp macro="">
      <xdr:nvCxnSpPr>
        <xdr:cNvPr id="28333" name="직선 화살표 연결선 28332">
          <a:extLst>
            <a:ext uri="{FF2B5EF4-FFF2-40B4-BE49-F238E27FC236}">
              <a16:creationId xmlns:a16="http://schemas.microsoft.com/office/drawing/2014/main" id="{9ADC5132-6268-41F1-BA23-EFA324BAEF26}"/>
            </a:ext>
          </a:extLst>
        </xdr:cNvPr>
        <xdr:cNvCxnSpPr/>
      </xdr:nvCxnSpPr>
      <xdr:spPr>
        <a:xfrm>
          <a:off x="8901249" y="13258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6</xdr:row>
      <xdr:rowOff>34290</xdr:rowOff>
    </xdr:from>
    <xdr:to>
      <xdr:col>30</xdr:col>
      <xdr:colOff>82731</xdr:colOff>
      <xdr:row>6</xdr:row>
      <xdr:rowOff>148590</xdr:rowOff>
    </xdr:to>
    <xdr:sp macro="" textlink="">
      <xdr:nvSpPr>
        <xdr:cNvPr id="28334" name="직사각형 28333">
          <a:extLst>
            <a:ext uri="{FF2B5EF4-FFF2-40B4-BE49-F238E27FC236}">
              <a16:creationId xmlns:a16="http://schemas.microsoft.com/office/drawing/2014/main" id="{66497220-E874-46E0-96A6-E4F78D5B91E7}"/>
            </a:ext>
          </a:extLst>
        </xdr:cNvPr>
        <xdr:cNvSpPr/>
      </xdr:nvSpPr>
      <xdr:spPr>
        <a:xfrm>
          <a:off x="8756469" y="1101090"/>
          <a:ext cx="1654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6</xdr:row>
      <xdr:rowOff>91440</xdr:rowOff>
    </xdr:from>
    <xdr:to>
      <xdr:col>30</xdr:col>
      <xdr:colOff>82731</xdr:colOff>
      <xdr:row>6</xdr:row>
      <xdr:rowOff>91440</xdr:rowOff>
    </xdr:to>
    <xdr:cxnSp macro="">
      <xdr:nvCxnSpPr>
        <xdr:cNvPr id="28335" name="직선 화살표 연결선 28334">
          <a:extLst>
            <a:ext uri="{FF2B5EF4-FFF2-40B4-BE49-F238E27FC236}">
              <a16:creationId xmlns:a16="http://schemas.microsoft.com/office/drawing/2014/main" id="{967C9872-EFED-4903-B859-DB5925F7CADD}"/>
            </a:ext>
          </a:extLst>
        </xdr:cNvPr>
        <xdr:cNvCxnSpPr/>
      </xdr:nvCxnSpPr>
      <xdr:spPr>
        <a:xfrm>
          <a:off x="8756469" y="11582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5</xdr:row>
      <xdr:rowOff>38100</xdr:rowOff>
    </xdr:from>
    <xdr:to>
      <xdr:col>31</xdr:col>
      <xdr:colOff>84637</xdr:colOff>
      <xdr:row>5</xdr:row>
      <xdr:rowOff>152400</xdr:rowOff>
    </xdr:to>
    <xdr:sp macro="" textlink="">
      <xdr:nvSpPr>
        <xdr:cNvPr id="28336" name="직사각형 28335">
          <a:extLst>
            <a:ext uri="{FF2B5EF4-FFF2-40B4-BE49-F238E27FC236}">
              <a16:creationId xmlns:a16="http://schemas.microsoft.com/office/drawing/2014/main" id="{15997088-2CB9-4D02-8C5C-A129F22CEC90}"/>
            </a:ext>
          </a:extLst>
        </xdr:cNvPr>
        <xdr:cNvSpPr/>
      </xdr:nvSpPr>
      <xdr:spPr>
        <a:xfrm>
          <a:off x="8756469" y="93345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5</xdr:row>
      <xdr:rowOff>95250</xdr:rowOff>
    </xdr:from>
    <xdr:to>
      <xdr:col>31</xdr:col>
      <xdr:colOff>84637</xdr:colOff>
      <xdr:row>5</xdr:row>
      <xdr:rowOff>95250</xdr:rowOff>
    </xdr:to>
    <xdr:cxnSp macro="">
      <xdr:nvCxnSpPr>
        <xdr:cNvPr id="28337" name="직선 화살표 연결선 28336">
          <a:extLst>
            <a:ext uri="{FF2B5EF4-FFF2-40B4-BE49-F238E27FC236}">
              <a16:creationId xmlns:a16="http://schemas.microsoft.com/office/drawing/2014/main" id="{D5FBA47C-384A-4AAB-AF9E-455F11150B4B}"/>
            </a:ext>
          </a:extLst>
        </xdr:cNvPr>
        <xdr:cNvCxnSpPr/>
      </xdr:nvCxnSpPr>
      <xdr:spPr>
        <a:xfrm>
          <a:off x="8756469" y="99060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4</xdr:row>
      <xdr:rowOff>30480</xdr:rowOff>
    </xdr:from>
    <xdr:to>
      <xdr:col>50</xdr:col>
      <xdr:colOff>120831</xdr:colOff>
      <xdr:row>4</xdr:row>
      <xdr:rowOff>144780</xdr:rowOff>
    </xdr:to>
    <xdr:sp macro="" textlink="">
      <xdr:nvSpPr>
        <xdr:cNvPr id="28338" name="직사각형 28337">
          <a:extLst>
            <a:ext uri="{FF2B5EF4-FFF2-40B4-BE49-F238E27FC236}">
              <a16:creationId xmlns:a16="http://schemas.microsoft.com/office/drawing/2014/main" id="{FD23B057-5633-4DA6-A2B0-1E930B9AC5E8}"/>
            </a:ext>
          </a:extLst>
        </xdr:cNvPr>
        <xdr:cNvSpPr/>
      </xdr:nvSpPr>
      <xdr:spPr>
        <a:xfrm>
          <a:off x="8611688" y="773430"/>
          <a:ext cx="32058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4</xdr:row>
      <xdr:rowOff>87630</xdr:rowOff>
    </xdr:from>
    <xdr:to>
      <xdr:col>37</xdr:col>
      <xdr:colOff>52892</xdr:colOff>
      <xdr:row>4</xdr:row>
      <xdr:rowOff>87630</xdr:rowOff>
    </xdr:to>
    <xdr:cxnSp macro="">
      <xdr:nvCxnSpPr>
        <xdr:cNvPr id="28339" name="직선 화살표 연결선 28338">
          <a:extLst>
            <a:ext uri="{FF2B5EF4-FFF2-40B4-BE49-F238E27FC236}">
              <a16:creationId xmlns:a16="http://schemas.microsoft.com/office/drawing/2014/main" id="{62E3C453-04E3-4565-A309-3802E9138FC9}"/>
            </a:ext>
          </a:extLst>
        </xdr:cNvPr>
        <xdr:cNvCxnSpPr/>
      </xdr:nvCxnSpPr>
      <xdr:spPr>
        <a:xfrm>
          <a:off x="8611688" y="830580"/>
          <a:ext cx="12805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158115</xdr:colOff>
      <xdr:row>5</xdr:row>
      <xdr:rowOff>7620</xdr:rowOff>
    </xdr:from>
    <xdr:to>
      <xdr:col>12</xdr:col>
      <xdr:colOff>548640</xdr:colOff>
      <xdr:row>19</xdr:row>
      <xdr:rowOff>30480</xdr:rowOff>
    </xdr:to>
    <xdr:graphicFrame macro="">
      <xdr:nvGraphicFramePr>
        <xdr:cNvPr id="5" name="차트 4">
          <a:extLst>
            <a:ext uri="{FF2B5EF4-FFF2-40B4-BE49-F238E27FC236}">
              <a16:creationId xmlns:a16="http://schemas.microsoft.com/office/drawing/2014/main" id="{A5AB62AA-3D5C-47F1-9805-7BB6EDBAEE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973</v>
      </c>
      <c r="C8" s="101" t="s">
        <v>1052</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1079</v>
      </c>
      <c r="D11" s="99" t="s">
        <v>25</v>
      </c>
      <c r="E11" s="108">
        <v>1</v>
      </c>
      <c r="F11" s="109" t="s">
        <v>26</v>
      </c>
      <c r="G11" s="110">
        <v>43481</v>
      </c>
      <c r="H11" s="109" t="s">
        <v>27</v>
      </c>
      <c r="I11" s="110">
        <v>43635</v>
      </c>
      <c r="J11" s="102" t="s">
        <v>417</v>
      </c>
      <c r="K11" s="102" t="s">
        <v>1076</v>
      </c>
      <c r="L11" s="102" t="s">
        <v>414</v>
      </c>
      <c r="M11" s="102">
        <v>1</v>
      </c>
      <c r="N11" s="107" t="s">
        <v>28</v>
      </c>
      <c r="O11" s="99">
        <v>0</v>
      </c>
      <c r="P11" s="99" t="s">
        <v>29</v>
      </c>
      <c r="Q11" s="107" t="s">
        <v>1043</v>
      </c>
      <c r="R11" s="102" t="s">
        <v>419</v>
      </c>
      <c r="S11" s="102">
        <v>1</v>
      </c>
      <c r="T11" s="102" t="s">
        <v>424</v>
      </c>
      <c r="U11" s="102">
        <v>1</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970</v>
      </c>
      <c r="AE12" s="102">
        <v>1</v>
      </c>
    </row>
    <row r="13" spans="1:64">
      <c r="A13" s="101" t="s">
        <v>401</v>
      </c>
      <c r="B13" s="107" t="s">
        <v>30</v>
      </c>
      <c r="C13" s="99">
        <v>1</v>
      </c>
      <c r="D13" s="107" t="s">
        <v>31</v>
      </c>
      <c r="E13" s="99" t="s">
        <v>1044</v>
      </c>
      <c r="F13" s="99" t="s">
        <v>32</v>
      </c>
      <c r="G13" s="109" t="s">
        <v>979</v>
      </c>
      <c r="H13" s="109" t="s">
        <v>33</v>
      </c>
      <c r="I13" s="102" t="s">
        <v>979</v>
      </c>
    </row>
    <row r="14" spans="1:64">
      <c r="A14" s="101" t="s">
        <v>402</v>
      </c>
      <c r="B14" s="108" t="s">
        <v>34</v>
      </c>
      <c r="C14" s="108" t="s">
        <v>1059</v>
      </c>
      <c r="D14" s="108" t="s">
        <v>35</v>
      </c>
      <c r="E14" s="108" t="s">
        <v>1060</v>
      </c>
      <c r="F14" s="108" t="s">
        <v>36</v>
      </c>
      <c r="G14" s="108" t="s">
        <v>1036</v>
      </c>
      <c r="H14" s="108" t="s">
        <v>37</v>
      </c>
      <c r="I14" s="108" t="b">
        <v>0</v>
      </c>
      <c r="J14" s="108" t="s">
        <v>38</v>
      </c>
      <c r="K14" s="108" t="s">
        <v>1061</v>
      </c>
      <c r="L14" s="108" t="s">
        <v>39</v>
      </c>
      <c r="M14" s="108" t="s">
        <v>1037</v>
      </c>
      <c r="N14" s="108" t="s">
        <v>40</v>
      </c>
      <c r="O14" s="108" t="s">
        <v>1036</v>
      </c>
      <c r="P14" s="108" t="s">
        <v>41</v>
      </c>
      <c r="Q14" s="108" t="b">
        <v>0</v>
      </c>
      <c r="R14" s="108" t="s">
        <v>42</v>
      </c>
      <c r="S14" s="108" t="s">
        <v>1062</v>
      </c>
      <c r="T14" s="108" t="s">
        <v>43</v>
      </c>
      <c r="U14" s="108" t="s">
        <v>1063</v>
      </c>
      <c r="V14" s="108" t="s">
        <v>44</v>
      </c>
      <c r="W14" s="108" t="s">
        <v>1036</v>
      </c>
      <c r="X14" s="108" t="s">
        <v>45</v>
      </c>
      <c r="Y14" s="108" t="b">
        <v>1</v>
      </c>
      <c r="Z14" s="108" t="s">
        <v>46</v>
      </c>
      <c r="AA14" s="108" t="s">
        <v>1038</v>
      </c>
      <c r="AB14" s="108" t="s">
        <v>47</v>
      </c>
      <c r="AC14" s="108" t="s">
        <v>1064</v>
      </c>
      <c r="AD14" s="108" t="s">
        <v>48</v>
      </c>
      <c r="AE14" s="108" t="s">
        <v>1065</v>
      </c>
      <c r="AF14" s="108" t="s">
        <v>49</v>
      </c>
      <c r="AG14" s="108" t="b">
        <v>1</v>
      </c>
      <c r="AH14" s="108" t="s">
        <v>50</v>
      </c>
      <c r="AI14" s="108" t="s">
        <v>1045</v>
      </c>
      <c r="AJ14" s="108" t="s">
        <v>51</v>
      </c>
      <c r="AK14" s="108" t="s">
        <v>1000</v>
      </c>
      <c r="AL14" s="108" t="s">
        <v>52</v>
      </c>
      <c r="AM14" s="108" t="s">
        <v>1066</v>
      </c>
      <c r="AN14" s="108" t="s">
        <v>53</v>
      </c>
      <c r="AO14" s="108" t="b">
        <v>0</v>
      </c>
      <c r="AP14" s="108" t="s">
        <v>54</v>
      </c>
      <c r="AQ14" s="108" t="s">
        <v>998</v>
      </c>
      <c r="AR14" s="108" t="s">
        <v>55</v>
      </c>
      <c r="AS14" s="108" t="s">
        <v>1001</v>
      </c>
      <c r="AT14" s="108" t="s">
        <v>56</v>
      </c>
      <c r="AU14" s="108" t="s">
        <v>1046</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1003</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916</v>
      </c>
      <c r="B1" s="124" t="s">
        <v>917</v>
      </c>
      <c r="C1" s="125" t="s">
        <v>918</v>
      </c>
      <c r="D1" s="125" t="s">
        <v>66</v>
      </c>
      <c r="E1" s="125" t="s">
        <v>67</v>
      </c>
    </row>
    <row r="2" spans="1:5" ht="79.2">
      <c r="A2" s="126" t="s">
        <v>1039</v>
      </c>
      <c r="B2" s="139">
        <v>1</v>
      </c>
      <c r="D2" s="127" t="s">
        <v>919</v>
      </c>
      <c r="E2" s="140" t="s">
        <v>595</v>
      </c>
    </row>
    <row r="3" spans="1:5" ht="112.5" customHeight="1">
      <c r="A3" s="128">
        <v>450</v>
      </c>
      <c r="B3" s="139">
        <v>2</v>
      </c>
      <c r="D3" s="127" t="s">
        <v>522</v>
      </c>
      <c r="E3" s="140" t="s">
        <v>920</v>
      </c>
    </row>
    <row r="4" spans="1:5" ht="52.8">
      <c r="B4" s="139">
        <v>3</v>
      </c>
      <c r="D4" s="127" t="s">
        <v>921</v>
      </c>
      <c r="E4" s="140" t="s">
        <v>596</v>
      </c>
    </row>
    <row r="5" spans="1:5" ht="52.8">
      <c r="B5" s="139">
        <v>4</v>
      </c>
      <c r="D5" s="127" t="s">
        <v>922</v>
      </c>
      <c r="E5" s="140" t="s">
        <v>597</v>
      </c>
    </row>
    <row r="6" spans="1:5" ht="52.8">
      <c r="B6" s="139">
        <v>5</v>
      </c>
      <c r="D6" s="127" t="s">
        <v>923</v>
      </c>
      <c r="E6" s="140" t="s">
        <v>598</v>
      </c>
    </row>
    <row r="7" spans="1:5" ht="39.6">
      <c r="B7" s="139">
        <v>6</v>
      </c>
      <c r="D7" s="127" t="s">
        <v>924</v>
      </c>
      <c r="E7" s="140" t="s">
        <v>599</v>
      </c>
    </row>
    <row r="8" spans="1:5">
      <c r="B8" s="139">
        <v>7</v>
      </c>
      <c r="D8" s="127" t="s">
        <v>910</v>
      </c>
      <c r="E8" s="140" t="s">
        <v>925</v>
      </c>
    </row>
    <row r="9" spans="1:5">
      <c r="B9" s="139">
        <v>101</v>
      </c>
      <c r="D9" s="127" t="s">
        <v>68</v>
      </c>
      <c r="E9" s="140" t="s">
        <v>600</v>
      </c>
    </row>
    <row r="10" spans="1:5">
      <c r="B10" s="139">
        <v>102</v>
      </c>
      <c r="D10" s="127" t="s">
        <v>69</v>
      </c>
      <c r="E10" s="140" t="s">
        <v>601</v>
      </c>
    </row>
    <row r="11" spans="1:5">
      <c r="B11" s="139">
        <v>103</v>
      </c>
      <c r="D11" s="127" t="s">
        <v>70</v>
      </c>
      <c r="E11" s="140" t="s">
        <v>602</v>
      </c>
    </row>
    <row r="12" spans="1:5">
      <c r="B12" s="139">
        <v>104</v>
      </c>
      <c r="D12" s="127" t="s">
        <v>71</v>
      </c>
      <c r="E12" s="140" t="s">
        <v>603</v>
      </c>
    </row>
    <row r="13" spans="1:5">
      <c r="B13" s="139">
        <v>105</v>
      </c>
      <c r="D13" s="127" t="s">
        <v>72</v>
      </c>
      <c r="E13" s="140" t="s">
        <v>604</v>
      </c>
    </row>
    <row r="14" spans="1:5">
      <c r="B14" s="139">
        <v>106</v>
      </c>
      <c r="D14" s="127" t="s">
        <v>440</v>
      </c>
      <c r="E14" s="140" t="s">
        <v>605</v>
      </c>
    </row>
    <row r="15" spans="1:5" ht="26.4">
      <c r="B15" s="139">
        <v>107</v>
      </c>
      <c r="D15" s="127" t="s">
        <v>441</v>
      </c>
      <c r="E15" s="140" t="s">
        <v>606</v>
      </c>
    </row>
    <row r="16" spans="1:5" ht="39.6">
      <c r="B16" s="139">
        <v>108</v>
      </c>
      <c r="D16" s="127" t="s">
        <v>442</v>
      </c>
      <c r="E16" s="140" t="s">
        <v>607</v>
      </c>
    </row>
    <row r="17" spans="1:6">
      <c r="B17" s="139">
        <v>109</v>
      </c>
      <c r="D17" s="127" t="s">
        <v>73</v>
      </c>
      <c r="E17" s="140" t="s">
        <v>525</v>
      </c>
    </row>
    <row r="18" spans="1:6">
      <c r="B18" s="139">
        <v>110</v>
      </c>
      <c r="D18" s="127" t="s">
        <v>74</v>
      </c>
      <c r="E18" s="140" t="s">
        <v>608</v>
      </c>
    </row>
    <row r="19" spans="1:6">
      <c r="B19" s="139">
        <v>111</v>
      </c>
      <c r="D19" s="127" t="s">
        <v>75</v>
      </c>
      <c r="E19" s="140" t="s">
        <v>609</v>
      </c>
    </row>
    <row r="20" spans="1:6">
      <c r="A20" s="129"/>
      <c r="B20" s="139">
        <v>112</v>
      </c>
      <c r="C20" s="138" t="s">
        <v>926</v>
      </c>
      <c r="D20" s="128" t="s">
        <v>927</v>
      </c>
      <c r="E20" s="128" t="s">
        <v>523</v>
      </c>
      <c r="F20" s="130"/>
    </row>
    <row r="21" spans="1:6">
      <c r="B21" s="139">
        <v>113</v>
      </c>
      <c r="D21" s="127" t="s">
        <v>76</v>
      </c>
      <c r="E21" s="140" t="s">
        <v>526</v>
      </c>
    </row>
    <row r="22" spans="1:6">
      <c r="B22" s="139">
        <v>114</v>
      </c>
      <c r="D22" s="127" t="s">
        <v>77</v>
      </c>
      <c r="E22" s="140" t="s">
        <v>610</v>
      </c>
    </row>
    <row r="23" spans="1:6">
      <c r="B23" s="139">
        <v>115</v>
      </c>
      <c r="D23" s="127" t="s">
        <v>78</v>
      </c>
      <c r="E23" s="140" t="s">
        <v>611</v>
      </c>
    </row>
    <row r="24" spans="1:6" ht="26.4">
      <c r="B24" s="139">
        <v>116</v>
      </c>
      <c r="D24" s="127" t="s">
        <v>443</v>
      </c>
      <c r="E24" s="140" t="s">
        <v>612</v>
      </c>
    </row>
    <row r="25" spans="1:6">
      <c r="B25" s="139">
        <v>117</v>
      </c>
      <c r="D25" s="127" t="s">
        <v>444</v>
      </c>
      <c r="E25" s="140" t="s">
        <v>613</v>
      </c>
    </row>
    <row r="26" spans="1:6" ht="26.4">
      <c r="B26" s="139">
        <v>118</v>
      </c>
      <c r="D26" s="127" t="s">
        <v>79</v>
      </c>
      <c r="E26" s="140" t="s">
        <v>614</v>
      </c>
    </row>
    <row r="27" spans="1:6">
      <c r="B27" s="139">
        <v>119</v>
      </c>
      <c r="D27" s="127" t="s">
        <v>80</v>
      </c>
      <c r="E27" s="140" t="s">
        <v>615</v>
      </c>
    </row>
    <row r="28" spans="1:6">
      <c r="B28" s="139">
        <v>120</v>
      </c>
      <c r="D28" s="127" t="s">
        <v>438</v>
      </c>
      <c r="E28" s="140" t="s">
        <v>616</v>
      </c>
    </row>
    <row r="29" spans="1:6">
      <c r="B29" s="139">
        <v>121</v>
      </c>
      <c r="D29" s="127" t="s">
        <v>81</v>
      </c>
      <c r="E29" s="140" t="s">
        <v>617</v>
      </c>
    </row>
    <row r="30" spans="1:6">
      <c r="B30" s="139">
        <v>122</v>
      </c>
      <c r="D30" s="127" t="s">
        <v>82</v>
      </c>
      <c r="E30" s="140" t="s">
        <v>618</v>
      </c>
    </row>
    <row r="31" spans="1:6">
      <c r="B31" s="139">
        <v>123</v>
      </c>
      <c r="D31" s="127" t="s">
        <v>83</v>
      </c>
      <c r="E31" s="140" t="s">
        <v>619</v>
      </c>
    </row>
    <row r="32" spans="1:6">
      <c r="B32" s="139">
        <v>124</v>
      </c>
      <c r="D32" s="127" t="s">
        <v>84</v>
      </c>
      <c r="E32" s="140" t="s">
        <v>620</v>
      </c>
    </row>
    <row r="33" spans="2:5" ht="26.4">
      <c r="B33" s="139">
        <v>125</v>
      </c>
      <c r="D33" s="127" t="s">
        <v>439</v>
      </c>
      <c r="E33" s="140" t="s">
        <v>621</v>
      </c>
    </row>
    <row r="34" spans="2:5">
      <c r="B34" s="139">
        <v>126</v>
      </c>
      <c r="D34" s="127" t="s">
        <v>85</v>
      </c>
      <c r="E34" s="140" t="s">
        <v>622</v>
      </c>
    </row>
    <row r="35" spans="2:5">
      <c r="B35" s="139">
        <v>127</v>
      </c>
      <c r="D35" s="127" t="s">
        <v>86</v>
      </c>
      <c r="E35" s="140" t="s">
        <v>623</v>
      </c>
    </row>
    <row r="36" spans="2:5">
      <c r="B36" s="139">
        <v>128</v>
      </c>
      <c r="D36" s="127" t="s">
        <v>445</v>
      </c>
      <c r="E36" s="140" t="s">
        <v>624</v>
      </c>
    </row>
    <row r="37" spans="2:5">
      <c r="B37" s="139">
        <v>129</v>
      </c>
      <c r="D37" s="127" t="s">
        <v>87</v>
      </c>
      <c r="E37" s="140" t="s">
        <v>625</v>
      </c>
    </row>
    <row r="38" spans="2:5">
      <c r="B38" s="139">
        <v>130</v>
      </c>
      <c r="D38" s="127" t="s">
        <v>88</v>
      </c>
      <c r="E38" s="140" t="s">
        <v>527</v>
      </c>
    </row>
    <row r="39" spans="2:5">
      <c r="B39" s="139">
        <v>131</v>
      </c>
      <c r="D39" s="127" t="s">
        <v>89</v>
      </c>
      <c r="E39" s="140" t="s">
        <v>528</v>
      </c>
    </row>
    <row r="40" spans="2:5">
      <c r="B40" s="139">
        <v>132</v>
      </c>
      <c r="D40" s="132" t="s">
        <v>446</v>
      </c>
      <c r="E40" s="133">
        <v>43435</v>
      </c>
    </row>
    <row r="41" spans="2:5">
      <c r="B41" s="139">
        <v>133</v>
      </c>
      <c r="D41" s="132" t="s">
        <v>446</v>
      </c>
      <c r="E41" s="133">
        <v>43435</v>
      </c>
    </row>
    <row r="42" spans="2:5">
      <c r="B42" s="139">
        <v>134</v>
      </c>
      <c r="D42" s="132" t="s">
        <v>447</v>
      </c>
      <c r="E42" s="133">
        <v>43465</v>
      </c>
    </row>
    <row r="43" spans="2:5">
      <c r="B43" s="139">
        <v>135</v>
      </c>
      <c r="D43" s="132" t="s">
        <v>447</v>
      </c>
      <c r="E43" s="133">
        <v>43465</v>
      </c>
    </row>
    <row r="44" spans="2:5">
      <c r="B44" s="139">
        <v>136</v>
      </c>
      <c r="D44" s="127" t="s">
        <v>90</v>
      </c>
      <c r="E44" s="140" t="s">
        <v>90</v>
      </c>
    </row>
    <row r="45" spans="2:5">
      <c r="B45" s="139">
        <v>137</v>
      </c>
      <c r="D45" s="127" t="s">
        <v>91</v>
      </c>
      <c r="E45" s="140" t="s">
        <v>626</v>
      </c>
    </row>
    <row r="46" spans="2:5">
      <c r="B46" s="139">
        <v>138</v>
      </c>
      <c r="C46" s="136" t="s">
        <v>928</v>
      </c>
      <c r="D46" s="127" t="s">
        <v>929</v>
      </c>
      <c r="E46" s="166" t="s">
        <v>930</v>
      </c>
    </row>
    <row r="47" spans="2:5">
      <c r="B47" s="139">
        <v>139</v>
      </c>
      <c r="D47" s="127" t="s">
        <v>92</v>
      </c>
      <c r="E47" s="140" t="s">
        <v>627</v>
      </c>
    </row>
    <row r="48" spans="2:5">
      <c r="B48" s="139">
        <v>140</v>
      </c>
      <c r="D48" s="127" t="s">
        <v>93</v>
      </c>
      <c r="E48" s="140" t="s">
        <v>628</v>
      </c>
    </row>
    <row r="49" spans="1:6">
      <c r="B49" s="139">
        <v>141</v>
      </c>
      <c r="D49" s="127" t="s">
        <v>448</v>
      </c>
      <c r="E49" s="140" t="s">
        <v>529</v>
      </c>
    </row>
    <row r="50" spans="1:6">
      <c r="B50" s="139">
        <v>142</v>
      </c>
      <c r="D50" s="127" t="s">
        <v>94</v>
      </c>
      <c r="E50" s="140" t="s">
        <v>530</v>
      </c>
    </row>
    <row r="51" spans="1:6">
      <c r="B51" s="139">
        <v>143</v>
      </c>
      <c r="D51" s="127" t="s">
        <v>95</v>
      </c>
      <c r="E51" s="140" t="s">
        <v>629</v>
      </c>
    </row>
    <row r="52" spans="1:6">
      <c r="B52" s="139">
        <v>144</v>
      </c>
      <c r="D52" s="127" t="s">
        <v>96</v>
      </c>
      <c r="E52" s="140" t="s">
        <v>630</v>
      </c>
    </row>
    <row r="53" spans="1:6">
      <c r="B53" s="139">
        <v>145</v>
      </c>
      <c r="D53" s="127" t="s">
        <v>97</v>
      </c>
      <c r="E53" s="140" t="s">
        <v>631</v>
      </c>
    </row>
    <row r="54" spans="1:6">
      <c r="B54" s="139">
        <v>146</v>
      </c>
      <c r="D54" s="127" t="s">
        <v>98</v>
      </c>
      <c r="E54" s="140" t="s">
        <v>632</v>
      </c>
    </row>
    <row r="55" spans="1:6">
      <c r="B55" s="139">
        <v>147</v>
      </c>
      <c r="D55" s="127" t="s">
        <v>449</v>
      </c>
      <c r="E55" s="140" t="s">
        <v>531</v>
      </c>
    </row>
    <row r="56" spans="1:6">
      <c r="B56" s="139">
        <v>148</v>
      </c>
      <c r="D56" s="127" t="s">
        <v>99</v>
      </c>
      <c r="E56" s="140" t="s">
        <v>532</v>
      </c>
    </row>
    <row r="57" spans="1:6">
      <c r="B57" s="139">
        <v>149</v>
      </c>
      <c r="D57" s="127" t="s">
        <v>100</v>
      </c>
      <c r="E57" s="140" t="s">
        <v>633</v>
      </c>
    </row>
    <row r="58" spans="1:6">
      <c r="B58" s="139">
        <v>150</v>
      </c>
      <c r="D58" s="127" t="s">
        <v>101</v>
      </c>
      <c r="E58" s="140" t="s">
        <v>634</v>
      </c>
    </row>
    <row r="59" spans="1:6">
      <c r="B59" s="139">
        <v>151</v>
      </c>
      <c r="D59" s="127" t="s">
        <v>102</v>
      </c>
      <c r="E59" s="140" t="s">
        <v>635</v>
      </c>
    </row>
    <row r="60" spans="1:6">
      <c r="B60" s="139">
        <v>152</v>
      </c>
      <c r="D60" s="127" t="s">
        <v>450</v>
      </c>
      <c r="E60" s="140" t="s">
        <v>636</v>
      </c>
    </row>
    <row r="61" spans="1:6">
      <c r="A61" s="131"/>
      <c r="B61" s="139">
        <v>153</v>
      </c>
      <c r="C61" s="138" t="s">
        <v>517</v>
      </c>
      <c r="D61" s="128" t="s">
        <v>931</v>
      </c>
      <c r="E61" s="128" t="s">
        <v>932</v>
      </c>
      <c r="F61" s="130"/>
    </row>
    <row r="62" spans="1:6" ht="14.4">
      <c r="B62" s="139">
        <v>154</v>
      </c>
      <c r="D62" s="127" t="s">
        <v>103</v>
      </c>
      <c r="E62" s="168" t="s">
        <v>914</v>
      </c>
    </row>
    <row r="63" spans="1:6" ht="14.4">
      <c r="B63" s="139">
        <v>155</v>
      </c>
      <c r="D63" s="127" t="s">
        <v>104</v>
      </c>
      <c r="E63" s="168" t="s">
        <v>933</v>
      </c>
    </row>
    <row r="64" spans="1:6">
      <c r="A64" s="131"/>
      <c r="B64" s="139">
        <v>156</v>
      </c>
      <c r="C64" s="138" t="s">
        <v>934</v>
      </c>
      <c r="D64" s="128" t="s">
        <v>935</v>
      </c>
      <c r="E64" s="128" t="s">
        <v>936</v>
      </c>
      <c r="F64" s="130"/>
    </row>
    <row r="65" spans="1:6">
      <c r="A65" s="131"/>
      <c r="B65" s="139">
        <v>157</v>
      </c>
      <c r="C65" s="138" t="s">
        <v>517</v>
      </c>
      <c r="D65" s="128" t="s">
        <v>937</v>
      </c>
      <c r="E65" s="128" t="s">
        <v>938</v>
      </c>
      <c r="F65" s="130"/>
    </row>
    <row r="66" spans="1:6">
      <c r="A66" s="131"/>
      <c r="B66" s="139">
        <v>158</v>
      </c>
      <c r="C66" s="138" t="s">
        <v>517</v>
      </c>
      <c r="D66" s="128" t="s">
        <v>939</v>
      </c>
      <c r="E66" s="128" t="s">
        <v>940</v>
      </c>
      <c r="F66" s="130"/>
    </row>
    <row r="67" spans="1:6">
      <c r="A67" s="131"/>
      <c r="B67" s="139">
        <v>159</v>
      </c>
      <c r="C67" s="138" t="s">
        <v>934</v>
      </c>
      <c r="D67" s="128" t="s">
        <v>911</v>
      </c>
      <c r="E67" s="128" t="s">
        <v>941</v>
      </c>
      <c r="F67" s="130"/>
    </row>
    <row r="68" spans="1:6">
      <c r="B68" s="139">
        <v>160</v>
      </c>
      <c r="D68" s="127" t="s">
        <v>105</v>
      </c>
      <c r="E68" s="140" t="s">
        <v>942</v>
      </c>
    </row>
    <row r="69" spans="1:6">
      <c r="B69" s="139">
        <v>161</v>
      </c>
      <c r="D69" s="127" t="s">
        <v>106</v>
      </c>
      <c r="E69" s="140" t="s">
        <v>943</v>
      </c>
    </row>
    <row r="70" spans="1:6">
      <c r="B70" s="139">
        <v>162</v>
      </c>
      <c r="D70" s="127" t="s">
        <v>944</v>
      </c>
      <c r="E70" s="140" t="s">
        <v>912</v>
      </c>
    </row>
    <row r="71" spans="1:6">
      <c r="B71" s="139">
        <v>163</v>
      </c>
      <c r="D71" s="127" t="s">
        <v>107</v>
      </c>
      <c r="E71" s="140" t="s">
        <v>945</v>
      </c>
    </row>
    <row r="72" spans="1:6">
      <c r="B72" s="139">
        <v>164</v>
      </c>
      <c r="D72" s="127" t="s">
        <v>108</v>
      </c>
      <c r="E72" s="140" t="s">
        <v>637</v>
      </c>
    </row>
    <row r="73" spans="1:6">
      <c r="B73" s="139">
        <v>165</v>
      </c>
      <c r="D73" s="127" t="s">
        <v>109</v>
      </c>
      <c r="E73" s="140" t="s">
        <v>638</v>
      </c>
    </row>
    <row r="74" spans="1:6">
      <c r="B74" s="139">
        <v>166</v>
      </c>
      <c r="D74" s="127" t="s">
        <v>110</v>
      </c>
      <c r="E74" s="140" t="s">
        <v>639</v>
      </c>
    </row>
    <row r="75" spans="1:6" ht="26.4">
      <c r="B75" s="139">
        <v>167</v>
      </c>
      <c r="D75" s="127" t="s">
        <v>111</v>
      </c>
      <c r="E75" s="140" t="s">
        <v>640</v>
      </c>
    </row>
    <row r="76" spans="1:6">
      <c r="B76" s="139">
        <v>168</v>
      </c>
      <c r="D76" s="127" t="s">
        <v>112</v>
      </c>
      <c r="E76" s="140" t="s">
        <v>641</v>
      </c>
    </row>
    <row r="77" spans="1:6">
      <c r="B77" s="139">
        <v>169</v>
      </c>
      <c r="D77" s="127" t="s">
        <v>113</v>
      </c>
      <c r="E77" s="140" t="s">
        <v>642</v>
      </c>
    </row>
    <row r="78" spans="1:6">
      <c r="B78" s="139">
        <v>170</v>
      </c>
      <c r="D78" s="127" t="s">
        <v>114</v>
      </c>
      <c r="E78" s="140" t="s">
        <v>643</v>
      </c>
    </row>
    <row r="79" spans="1:6">
      <c r="B79" s="139">
        <v>171</v>
      </c>
      <c r="D79" s="127" t="s">
        <v>451</v>
      </c>
      <c r="E79" s="140" t="s">
        <v>644</v>
      </c>
    </row>
    <row r="80" spans="1:6">
      <c r="B80" s="139">
        <v>172</v>
      </c>
      <c r="D80" s="127" t="s">
        <v>115</v>
      </c>
      <c r="E80" s="140" t="s">
        <v>645</v>
      </c>
    </row>
    <row r="81" spans="2:5">
      <c r="B81" s="139">
        <v>173</v>
      </c>
      <c r="D81" s="127" t="s">
        <v>116</v>
      </c>
      <c r="E81" s="140" t="s">
        <v>646</v>
      </c>
    </row>
    <row r="82" spans="2:5">
      <c r="B82" s="139">
        <v>174</v>
      </c>
      <c r="D82" s="127" t="s">
        <v>117</v>
      </c>
      <c r="E82" s="140" t="s">
        <v>647</v>
      </c>
    </row>
    <row r="83" spans="2:5">
      <c r="B83" s="139">
        <v>175</v>
      </c>
      <c r="D83" s="127" t="s">
        <v>118</v>
      </c>
      <c r="E83" s="140" t="s">
        <v>648</v>
      </c>
    </row>
    <row r="84" spans="2:5">
      <c r="B84" s="139">
        <v>176</v>
      </c>
      <c r="D84" s="127" t="s">
        <v>119</v>
      </c>
      <c r="E84" s="140" t="s">
        <v>649</v>
      </c>
    </row>
    <row r="85" spans="2:5">
      <c r="B85" s="139">
        <v>177</v>
      </c>
      <c r="D85" s="127" t="s">
        <v>120</v>
      </c>
      <c r="E85" s="140" t="s">
        <v>533</v>
      </c>
    </row>
    <row r="86" spans="2:5">
      <c r="B86" s="139">
        <v>178</v>
      </c>
      <c r="D86" s="127" t="s">
        <v>121</v>
      </c>
      <c r="E86" s="140" t="s">
        <v>534</v>
      </c>
    </row>
    <row r="87" spans="2:5">
      <c r="B87" s="139">
        <v>179</v>
      </c>
      <c r="D87" s="127" t="s">
        <v>122</v>
      </c>
      <c r="E87" s="140" t="s">
        <v>650</v>
      </c>
    </row>
    <row r="88" spans="2:5">
      <c r="B88" s="139">
        <v>180</v>
      </c>
      <c r="D88" s="127" t="s">
        <v>452</v>
      </c>
      <c r="E88" s="140" t="s">
        <v>651</v>
      </c>
    </row>
    <row r="89" spans="2:5" ht="26.4">
      <c r="B89" s="139">
        <v>181</v>
      </c>
      <c r="D89" s="127" t="s">
        <v>453</v>
      </c>
      <c r="E89" s="140" t="s">
        <v>652</v>
      </c>
    </row>
    <row r="90" spans="2:5" ht="26.4">
      <c r="B90" s="139">
        <v>182</v>
      </c>
      <c r="D90" s="127" t="s">
        <v>123</v>
      </c>
      <c r="E90" s="140" t="s">
        <v>653</v>
      </c>
    </row>
    <row r="91" spans="2:5">
      <c r="B91" s="139">
        <v>183</v>
      </c>
      <c r="D91" s="127" t="s">
        <v>124</v>
      </c>
      <c r="E91" s="140" t="s">
        <v>125</v>
      </c>
    </row>
    <row r="92" spans="2:5">
      <c r="B92" s="139">
        <v>184</v>
      </c>
      <c r="D92" s="127" t="s">
        <v>454</v>
      </c>
      <c r="E92" s="140" t="s">
        <v>535</v>
      </c>
    </row>
    <row r="93" spans="2:5">
      <c r="B93" s="139">
        <v>185</v>
      </c>
      <c r="D93" s="127" t="s">
        <v>455</v>
      </c>
      <c r="E93" s="140" t="s">
        <v>536</v>
      </c>
    </row>
    <row r="94" spans="2:5">
      <c r="B94" s="139">
        <v>186</v>
      </c>
      <c r="D94" s="127" t="s">
        <v>456</v>
      </c>
      <c r="E94" s="140" t="s">
        <v>946</v>
      </c>
    </row>
    <row r="95" spans="2:5">
      <c r="B95" s="139">
        <v>187</v>
      </c>
      <c r="D95" s="127" t="s">
        <v>126</v>
      </c>
      <c r="E95" s="140" t="s">
        <v>654</v>
      </c>
    </row>
    <row r="96" spans="2:5" ht="26.4">
      <c r="B96" s="139">
        <v>188</v>
      </c>
      <c r="D96" s="127" t="s">
        <v>127</v>
      </c>
      <c r="E96" s="140" t="s">
        <v>655</v>
      </c>
    </row>
    <row r="97" spans="2:5" ht="26.4">
      <c r="B97" s="139">
        <v>189</v>
      </c>
      <c r="D97" s="127" t="s">
        <v>128</v>
      </c>
      <c r="E97" s="140" t="s">
        <v>656</v>
      </c>
    </row>
    <row r="98" spans="2:5">
      <c r="B98" s="139">
        <v>190</v>
      </c>
      <c r="D98" s="127" t="s">
        <v>129</v>
      </c>
      <c r="E98" s="140" t="s">
        <v>129</v>
      </c>
    </row>
    <row r="99" spans="2:5">
      <c r="B99" s="139">
        <v>191</v>
      </c>
      <c r="D99" s="127" t="s">
        <v>130</v>
      </c>
      <c r="E99" s="140" t="s">
        <v>537</v>
      </c>
    </row>
    <row r="100" spans="2:5">
      <c r="B100" s="139">
        <v>192</v>
      </c>
      <c r="D100" s="127" t="s">
        <v>131</v>
      </c>
      <c r="E100" s="140" t="s">
        <v>538</v>
      </c>
    </row>
    <row r="101" spans="2:5">
      <c r="B101" s="139">
        <v>193</v>
      </c>
      <c r="D101" s="127" t="s">
        <v>132</v>
      </c>
      <c r="E101" s="140" t="s">
        <v>539</v>
      </c>
    </row>
    <row r="102" spans="2:5">
      <c r="B102" s="139">
        <v>194</v>
      </c>
      <c r="D102" s="127" t="s">
        <v>457</v>
      </c>
      <c r="E102" s="140" t="s">
        <v>657</v>
      </c>
    </row>
    <row r="103" spans="2:5">
      <c r="B103" s="139">
        <v>195</v>
      </c>
      <c r="D103" s="127" t="s">
        <v>133</v>
      </c>
      <c r="E103" s="140" t="s">
        <v>658</v>
      </c>
    </row>
    <row r="104" spans="2:5">
      <c r="B104" s="139">
        <v>196</v>
      </c>
      <c r="D104" s="127" t="s">
        <v>458</v>
      </c>
      <c r="E104" s="140" t="s">
        <v>659</v>
      </c>
    </row>
    <row r="105" spans="2:5">
      <c r="B105" s="139">
        <v>197</v>
      </c>
      <c r="D105" s="127" t="s">
        <v>134</v>
      </c>
      <c r="E105" s="140" t="s">
        <v>660</v>
      </c>
    </row>
    <row r="106" spans="2:5">
      <c r="B106" s="139">
        <v>198</v>
      </c>
      <c r="D106" s="127" t="s">
        <v>135</v>
      </c>
      <c r="E106" s="140" t="s">
        <v>661</v>
      </c>
    </row>
    <row r="107" spans="2:5">
      <c r="B107" s="139">
        <v>199</v>
      </c>
      <c r="D107" s="127" t="s">
        <v>136</v>
      </c>
      <c r="E107" s="140" t="s">
        <v>662</v>
      </c>
    </row>
    <row r="108" spans="2:5">
      <c r="B108" s="139">
        <v>200</v>
      </c>
      <c r="D108" s="127" t="s">
        <v>459</v>
      </c>
      <c r="E108" s="140" t="s">
        <v>663</v>
      </c>
    </row>
    <row r="109" spans="2:5">
      <c r="B109" s="139">
        <v>201</v>
      </c>
      <c r="D109" s="127" t="s">
        <v>137</v>
      </c>
      <c r="E109" s="140" t="s">
        <v>664</v>
      </c>
    </row>
    <row r="110" spans="2:5">
      <c r="B110" s="139">
        <v>202</v>
      </c>
      <c r="D110" s="127" t="s">
        <v>138</v>
      </c>
      <c r="E110" s="140" t="s">
        <v>665</v>
      </c>
    </row>
    <row r="111" spans="2:5">
      <c r="B111" s="139">
        <v>203</v>
      </c>
      <c r="D111" s="127" t="s">
        <v>139</v>
      </c>
      <c r="E111" s="140" t="s">
        <v>540</v>
      </c>
    </row>
    <row r="112" spans="2:5">
      <c r="B112" s="139">
        <v>204</v>
      </c>
      <c r="D112" s="127" t="s">
        <v>460</v>
      </c>
      <c r="E112" s="140" t="s">
        <v>541</v>
      </c>
    </row>
    <row r="113" spans="2:5">
      <c r="B113" s="139">
        <v>205</v>
      </c>
      <c r="D113" s="127" t="s">
        <v>461</v>
      </c>
      <c r="E113" s="140" t="s">
        <v>542</v>
      </c>
    </row>
    <row r="114" spans="2:5">
      <c r="B114" s="139">
        <v>206</v>
      </c>
      <c r="D114" s="127" t="s">
        <v>462</v>
      </c>
      <c r="E114" s="140" t="s">
        <v>666</v>
      </c>
    </row>
    <row r="115" spans="2:5">
      <c r="B115" s="139">
        <v>207</v>
      </c>
      <c r="D115" s="127" t="s">
        <v>463</v>
      </c>
      <c r="E115" s="140" t="s">
        <v>543</v>
      </c>
    </row>
    <row r="116" spans="2:5">
      <c r="B116" s="139">
        <v>208</v>
      </c>
      <c r="D116" s="127" t="s">
        <v>464</v>
      </c>
      <c r="E116" s="140" t="s">
        <v>544</v>
      </c>
    </row>
    <row r="117" spans="2:5">
      <c r="B117" s="139">
        <v>209</v>
      </c>
      <c r="D117" s="127" t="s">
        <v>140</v>
      </c>
      <c r="E117" s="140" t="s">
        <v>667</v>
      </c>
    </row>
    <row r="118" spans="2:5">
      <c r="B118" s="139">
        <v>210</v>
      </c>
      <c r="D118" s="127" t="s">
        <v>465</v>
      </c>
      <c r="E118" s="140" t="s">
        <v>668</v>
      </c>
    </row>
    <row r="119" spans="2:5">
      <c r="B119" s="139">
        <v>211</v>
      </c>
      <c r="D119" s="127" t="s">
        <v>141</v>
      </c>
      <c r="E119" s="140" t="s">
        <v>545</v>
      </c>
    </row>
    <row r="120" spans="2:5">
      <c r="B120" s="139">
        <v>212</v>
      </c>
      <c r="D120" s="127" t="s">
        <v>142</v>
      </c>
      <c r="E120" s="140" t="s">
        <v>669</v>
      </c>
    </row>
    <row r="121" spans="2:5">
      <c r="B121" s="139">
        <v>213</v>
      </c>
      <c r="D121" s="127" t="s">
        <v>143</v>
      </c>
      <c r="E121" s="140" t="s">
        <v>670</v>
      </c>
    </row>
    <row r="122" spans="2:5">
      <c r="B122" s="139">
        <v>214</v>
      </c>
      <c r="D122" s="127" t="s">
        <v>466</v>
      </c>
      <c r="E122" s="140" t="s">
        <v>671</v>
      </c>
    </row>
    <row r="123" spans="2:5">
      <c r="B123" s="139">
        <v>215</v>
      </c>
      <c r="D123" s="127" t="s">
        <v>467</v>
      </c>
      <c r="E123" s="140" t="s">
        <v>672</v>
      </c>
    </row>
    <row r="124" spans="2:5">
      <c r="B124" s="139">
        <v>216</v>
      </c>
      <c r="D124" s="127" t="s">
        <v>999</v>
      </c>
      <c r="E124" s="140" t="s">
        <v>673</v>
      </c>
    </row>
    <row r="125" spans="2:5">
      <c r="B125" s="139">
        <v>217</v>
      </c>
      <c r="D125" s="127" t="s">
        <v>468</v>
      </c>
      <c r="E125" s="140" t="s">
        <v>674</v>
      </c>
    </row>
    <row r="126" spans="2:5">
      <c r="B126" s="139">
        <v>218</v>
      </c>
      <c r="D126" s="127" t="s">
        <v>469</v>
      </c>
      <c r="E126" s="140" t="s">
        <v>675</v>
      </c>
    </row>
    <row r="127" spans="2:5">
      <c r="B127" s="139">
        <v>219</v>
      </c>
      <c r="D127" s="127" t="s">
        <v>470</v>
      </c>
      <c r="E127" s="140" t="s">
        <v>676</v>
      </c>
    </row>
    <row r="128" spans="2:5">
      <c r="B128" s="139">
        <v>220</v>
      </c>
      <c r="D128" s="127" t="s">
        <v>471</v>
      </c>
      <c r="E128" s="140" t="s">
        <v>677</v>
      </c>
    </row>
    <row r="129" spans="2:5">
      <c r="B129" s="139">
        <v>221</v>
      </c>
      <c r="D129" s="127" t="s">
        <v>144</v>
      </c>
      <c r="E129" s="140" t="s">
        <v>678</v>
      </c>
    </row>
    <row r="130" spans="2:5">
      <c r="B130" s="139">
        <v>222</v>
      </c>
      <c r="D130" s="127" t="s">
        <v>145</v>
      </c>
      <c r="E130" s="140" t="s">
        <v>679</v>
      </c>
    </row>
    <row r="131" spans="2:5">
      <c r="B131" s="139">
        <v>223</v>
      </c>
      <c r="D131" s="127" t="s">
        <v>146</v>
      </c>
      <c r="E131" s="140" t="s">
        <v>680</v>
      </c>
    </row>
    <row r="132" spans="2:5">
      <c r="B132" s="139">
        <v>224</v>
      </c>
      <c r="D132" s="127" t="s">
        <v>147</v>
      </c>
      <c r="E132" s="140" t="s">
        <v>681</v>
      </c>
    </row>
    <row r="133" spans="2:5">
      <c r="B133" s="139">
        <v>225</v>
      </c>
      <c r="D133" s="127" t="s">
        <v>472</v>
      </c>
      <c r="E133" s="140" t="s">
        <v>682</v>
      </c>
    </row>
    <row r="134" spans="2:5">
      <c r="B134" s="139">
        <v>226</v>
      </c>
      <c r="D134" s="127" t="s">
        <v>473</v>
      </c>
      <c r="E134" s="140" t="s">
        <v>683</v>
      </c>
    </row>
    <row r="135" spans="2:5">
      <c r="B135" s="139">
        <v>227</v>
      </c>
      <c r="D135" s="127" t="s">
        <v>474</v>
      </c>
      <c r="E135" s="140" t="s">
        <v>684</v>
      </c>
    </row>
    <row r="136" spans="2:5">
      <c r="B136" s="139">
        <v>228</v>
      </c>
      <c r="D136" s="127" t="s">
        <v>148</v>
      </c>
      <c r="E136" s="140" t="s">
        <v>685</v>
      </c>
    </row>
    <row r="137" spans="2:5">
      <c r="B137" s="139">
        <v>229</v>
      </c>
      <c r="D137" s="127" t="s">
        <v>149</v>
      </c>
      <c r="E137" s="140" t="s">
        <v>686</v>
      </c>
    </row>
    <row r="138" spans="2:5">
      <c r="B138" s="139">
        <v>230</v>
      </c>
      <c r="D138" s="127" t="s">
        <v>475</v>
      </c>
      <c r="E138" s="140" t="s">
        <v>546</v>
      </c>
    </row>
    <row r="139" spans="2:5">
      <c r="B139" s="139">
        <v>231</v>
      </c>
      <c r="D139" s="127" t="s">
        <v>150</v>
      </c>
      <c r="E139" s="140" t="s">
        <v>687</v>
      </c>
    </row>
    <row r="140" spans="2:5" ht="39.6">
      <c r="B140" s="139">
        <v>232</v>
      </c>
      <c r="D140" s="127" t="s">
        <v>151</v>
      </c>
      <c r="E140" s="140" t="s">
        <v>688</v>
      </c>
    </row>
    <row r="141" spans="2:5">
      <c r="B141" s="139">
        <v>233</v>
      </c>
      <c r="D141" s="127" t="s">
        <v>152</v>
      </c>
      <c r="E141" s="140" t="s">
        <v>689</v>
      </c>
    </row>
    <row r="142" spans="2:5">
      <c r="B142" s="139">
        <v>234</v>
      </c>
      <c r="D142" s="127" t="s">
        <v>153</v>
      </c>
      <c r="E142" s="140" t="s">
        <v>947</v>
      </c>
    </row>
    <row r="143" spans="2:5">
      <c r="B143" s="139">
        <v>235</v>
      </c>
      <c r="D143" s="127" t="s">
        <v>154</v>
      </c>
      <c r="E143" s="140" t="s">
        <v>547</v>
      </c>
    </row>
    <row r="144" spans="2:5">
      <c r="B144" s="139">
        <v>236</v>
      </c>
      <c r="D144" s="127" t="s">
        <v>155</v>
      </c>
      <c r="E144" s="140" t="s">
        <v>690</v>
      </c>
    </row>
    <row r="145" spans="2:5">
      <c r="B145" s="139">
        <v>237</v>
      </c>
      <c r="D145" s="127" t="s">
        <v>156</v>
      </c>
      <c r="E145" s="140" t="s">
        <v>548</v>
      </c>
    </row>
    <row r="146" spans="2:5">
      <c r="B146" s="139">
        <v>238</v>
      </c>
      <c r="D146" s="127" t="s">
        <v>157</v>
      </c>
      <c r="E146" s="140" t="s">
        <v>691</v>
      </c>
    </row>
    <row r="147" spans="2:5">
      <c r="B147" s="139">
        <v>239</v>
      </c>
      <c r="D147" s="127" t="s">
        <v>158</v>
      </c>
      <c r="E147" s="140" t="s">
        <v>692</v>
      </c>
    </row>
    <row r="148" spans="2:5">
      <c r="B148" s="139">
        <v>240</v>
      </c>
      <c r="D148" s="127" t="s">
        <v>159</v>
      </c>
      <c r="E148" s="140" t="s">
        <v>549</v>
      </c>
    </row>
    <row r="149" spans="2:5">
      <c r="B149" s="139">
        <v>241</v>
      </c>
      <c r="D149" s="127" t="s">
        <v>160</v>
      </c>
      <c r="E149" s="140" t="s">
        <v>550</v>
      </c>
    </row>
    <row r="150" spans="2:5">
      <c r="B150" s="139">
        <v>242</v>
      </c>
      <c r="D150" s="127" t="s">
        <v>161</v>
      </c>
      <c r="E150" s="140" t="s">
        <v>693</v>
      </c>
    </row>
    <row r="151" spans="2:5">
      <c r="B151" s="139">
        <v>243</v>
      </c>
      <c r="D151" s="127" t="s">
        <v>162</v>
      </c>
      <c r="E151" s="140" t="s">
        <v>694</v>
      </c>
    </row>
    <row r="152" spans="2:5">
      <c r="B152" s="139">
        <v>244</v>
      </c>
      <c r="D152" s="127" t="s">
        <v>163</v>
      </c>
      <c r="E152" s="140" t="s">
        <v>695</v>
      </c>
    </row>
    <row r="153" spans="2:5">
      <c r="B153" s="139">
        <v>245</v>
      </c>
      <c r="D153" s="127" t="s">
        <v>476</v>
      </c>
      <c r="E153" s="140" t="s">
        <v>696</v>
      </c>
    </row>
    <row r="154" spans="2:5">
      <c r="B154" s="139">
        <v>246</v>
      </c>
      <c r="D154" s="127" t="s">
        <v>164</v>
      </c>
      <c r="E154" s="140" t="s">
        <v>697</v>
      </c>
    </row>
    <row r="155" spans="2:5">
      <c r="B155" s="139">
        <v>247</v>
      </c>
      <c r="D155" s="127" t="s">
        <v>165</v>
      </c>
      <c r="E155" s="140" t="s">
        <v>551</v>
      </c>
    </row>
    <row r="156" spans="2:5">
      <c r="B156" s="139">
        <v>248</v>
      </c>
      <c r="D156" s="127" t="s">
        <v>166</v>
      </c>
      <c r="E156" s="140" t="s">
        <v>698</v>
      </c>
    </row>
    <row r="157" spans="2:5">
      <c r="B157" s="139">
        <v>249</v>
      </c>
      <c r="D157" s="127" t="s">
        <v>477</v>
      </c>
      <c r="E157" s="140" t="s">
        <v>699</v>
      </c>
    </row>
    <row r="158" spans="2:5">
      <c r="B158" s="139">
        <v>250</v>
      </c>
      <c r="D158" s="127" t="s">
        <v>478</v>
      </c>
      <c r="E158" s="140" t="s">
        <v>700</v>
      </c>
    </row>
    <row r="159" spans="2:5">
      <c r="B159" s="139">
        <v>251</v>
      </c>
      <c r="D159" s="127" t="s">
        <v>479</v>
      </c>
      <c r="E159" s="140" t="s">
        <v>701</v>
      </c>
    </row>
    <row r="160" spans="2:5">
      <c r="B160" s="139">
        <v>252</v>
      </c>
      <c r="D160" s="127" t="s">
        <v>480</v>
      </c>
      <c r="E160" s="140" t="s">
        <v>702</v>
      </c>
    </row>
    <row r="161" spans="2:5">
      <c r="B161" s="139">
        <v>253</v>
      </c>
      <c r="D161" s="127" t="s">
        <v>167</v>
      </c>
      <c r="E161" s="140" t="s">
        <v>948</v>
      </c>
    </row>
    <row r="162" spans="2:5" ht="26.4">
      <c r="B162" s="139">
        <v>254</v>
      </c>
      <c r="D162" s="127" t="s">
        <v>168</v>
      </c>
      <c r="E162" s="140" t="s">
        <v>703</v>
      </c>
    </row>
    <row r="163" spans="2:5" ht="26.4">
      <c r="B163" s="139">
        <v>255</v>
      </c>
      <c r="D163" s="127" t="s">
        <v>169</v>
      </c>
      <c r="E163" s="140" t="s">
        <v>704</v>
      </c>
    </row>
    <row r="164" spans="2:5" ht="26.4">
      <c r="B164" s="139">
        <v>256</v>
      </c>
      <c r="D164" s="127" t="s">
        <v>170</v>
      </c>
      <c r="E164" s="140" t="s">
        <v>705</v>
      </c>
    </row>
    <row r="165" spans="2:5">
      <c r="B165" s="139">
        <v>257</v>
      </c>
      <c r="D165" s="127" t="s">
        <v>171</v>
      </c>
      <c r="E165" s="140" t="s">
        <v>552</v>
      </c>
    </row>
    <row r="166" spans="2:5">
      <c r="B166" s="139">
        <v>258</v>
      </c>
      <c r="D166" s="127" t="s">
        <v>172</v>
      </c>
      <c r="E166" s="140" t="s">
        <v>706</v>
      </c>
    </row>
    <row r="167" spans="2:5">
      <c r="B167" s="139">
        <v>259</v>
      </c>
      <c r="D167" s="127" t="s">
        <v>173</v>
      </c>
      <c r="E167" s="140" t="s">
        <v>707</v>
      </c>
    </row>
    <row r="168" spans="2:5">
      <c r="B168" s="139">
        <v>260</v>
      </c>
      <c r="D168" s="127" t="s">
        <v>174</v>
      </c>
      <c r="E168" s="140" t="s">
        <v>708</v>
      </c>
    </row>
    <row r="169" spans="2:5">
      <c r="B169" s="139">
        <v>261</v>
      </c>
      <c r="D169" s="127" t="s">
        <v>175</v>
      </c>
      <c r="E169" s="140" t="s">
        <v>709</v>
      </c>
    </row>
    <row r="170" spans="2:5" ht="26.4">
      <c r="B170" s="139">
        <v>262</v>
      </c>
      <c r="D170" s="127" t="s">
        <v>176</v>
      </c>
      <c r="E170" s="140" t="s">
        <v>710</v>
      </c>
    </row>
    <row r="171" spans="2:5">
      <c r="B171" s="139">
        <v>263</v>
      </c>
      <c r="D171" s="127" t="s">
        <v>177</v>
      </c>
      <c r="E171" s="140" t="s">
        <v>711</v>
      </c>
    </row>
    <row r="172" spans="2:5">
      <c r="B172" s="139">
        <v>264</v>
      </c>
      <c r="D172" s="127" t="s">
        <v>178</v>
      </c>
      <c r="E172" s="140" t="s">
        <v>712</v>
      </c>
    </row>
    <row r="173" spans="2:5">
      <c r="B173" s="139">
        <v>265</v>
      </c>
      <c r="D173" s="127" t="s">
        <v>179</v>
      </c>
      <c r="E173" s="140" t="s">
        <v>713</v>
      </c>
    </row>
    <row r="174" spans="2:5">
      <c r="B174" s="139">
        <v>266</v>
      </c>
      <c r="D174" s="127" t="s">
        <v>180</v>
      </c>
      <c r="E174" s="140" t="s">
        <v>714</v>
      </c>
    </row>
    <row r="175" spans="2:5">
      <c r="B175" s="139">
        <v>267</v>
      </c>
      <c r="D175" s="127" t="s">
        <v>181</v>
      </c>
      <c r="E175" s="140" t="s">
        <v>715</v>
      </c>
    </row>
    <row r="176" spans="2:5">
      <c r="B176" s="139">
        <v>268</v>
      </c>
      <c r="D176" s="127" t="s">
        <v>182</v>
      </c>
      <c r="E176" s="140" t="s">
        <v>716</v>
      </c>
    </row>
    <row r="177" spans="2:5">
      <c r="B177" s="139">
        <v>269</v>
      </c>
      <c r="D177" s="127" t="s">
        <v>481</v>
      </c>
      <c r="E177" s="140" t="s">
        <v>717</v>
      </c>
    </row>
    <row r="178" spans="2:5">
      <c r="B178" s="139">
        <v>270</v>
      </c>
      <c r="D178" s="127" t="s">
        <v>183</v>
      </c>
      <c r="E178" s="140" t="s">
        <v>718</v>
      </c>
    </row>
    <row r="179" spans="2:5">
      <c r="B179" s="139">
        <v>271</v>
      </c>
      <c r="D179" s="127" t="s">
        <v>482</v>
      </c>
      <c r="E179" s="140" t="s">
        <v>553</v>
      </c>
    </row>
    <row r="180" spans="2:5" ht="26.4">
      <c r="B180" s="139">
        <v>272</v>
      </c>
      <c r="D180" s="127" t="s">
        <v>184</v>
      </c>
    </row>
    <row r="181" spans="2:5">
      <c r="B181" s="139">
        <v>273</v>
      </c>
      <c r="D181" s="127" t="s">
        <v>185</v>
      </c>
      <c r="E181" s="140" t="s">
        <v>719</v>
      </c>
    </row>
    <row r="182" spans="2:5">
      <c r="B182" s="139">
        <v>274</v>
      </c>
      <c r="D182" s="127" t="s">
        <v>186</v>
      </c>
      <c r="E182" s="140" t="s">
        <v>554</v>
      </c>
    </row>
    <row r="183" spans="2:5">
      <c r="B183" s="139">
        <v>275</v>
      </c>
      <c r="D183" s="127" t="s">
        <v>187</v>
      </c>
      <c r="E183" s="140" t="s">
        <v>555</v>
      </c>
    </row>
    <row r="184" spans="2:5">
      <c r="B184" s="139">
        <v>276</v>
      </c>
      <c r="D184" s="127" t="s">
        <v>188</v>
      </c>
      <c r="E184" s="140" t="s">
        <v>949</v>
      </c>
    </row>
    <row r="185" spans="2:5">
      <c r="B185" s="139">
        <v>277</v>
      </c>
      <c r="D185" s="127" t="s">
        <v>483</v>
      </c>
      <c r="E185" s="140" t="s">
        <v>556</v>
      </c>
    </row>
    <row r="186" spans="2:5">
      <c r="B186" s="139">
        <v>278</v>
      </c>
      <c r="D186" s="127" t="s">
        <v>189</v>
      </c>
      <c r="E186" s="140" t="s">
        <v>557</v>
      </c>
    </row>
    <row r="187" spans="2:5">
      <c r="B187" s="139">
        <v>279</v>
      </c>
      <c r="D187" s="127" t="s">
        <v>190</v>
      </c>
      <c r="E187" s="140" t="s">
        <v>720</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950</v>
      </c>
    </row>
    <row r="192" spans="2:5">
      <c r="B192" s="139">
        <v>284</v>
      </c>
      <c r="D192" s="127" t="s">
        <v>194</v>
      </c>
      <c r="E192" s="140" t="s">
        <v>721</v>
      </c>
    </row>
    <row r="193" spans="2:5">
      <c r="B193" s="139">
        <v>285</v>
      </c>
      <c r="D193" s="127" t="s">
        <v>195</v>
      </c>
      <c r="E193" s="140" t="s">
        <v>558</v>
      </c>
    </row>
    <row r="194" spans="2:5">
      <c r="B194" s="139">
        <v>286</v>
      </c>
      <c r="D194" s="127" t="s">
        <v>484</v>
      </c>
      <c r="E194" s="140" t="s">
        <v>559</v>
      </c>
    </row>
    <row r="195" spans="2:5">
      <c r="B195" s="139">
        <v>287</v>
      </c>
      <c r="D195" s="127" t="s">
        <v>485</v>
      </c>
      <c r="E195" s="140" t="s">
        <v>560</v>
      </c>
    </row>
    <row r="196" spans="2:5">
      <c r="B196" s="139">
        <v>288</v>
      </c>
      <c r="D196" s="127" t="s">
        <v>486</v>
      </c>
      <c r="E196" s="140" t="s">
        <v>559</v>
      </c>
    </row>
    <row r="197" spans="2:5">
      <c r="B197" s="139">
        <v>289</v>
      </c>
      <c r="D197" s="127" t="s">
        <v>196</v>
      </c>
      <c r="E197" s="140" t="s">
        <v>561</v>
      </c>
    </row>
    <row r="198" spans="2:5">
      <c r="B198" s="139">
        <v>290</v>
      </c>
      <c r="D198" s="127" t="s">
        <v>487</v>
      </c>
      <c r="E198" s="140" t="s">
        <v>722</v>
      </c>
    </row>
    <row r="199" spans="2:5">
      <c r="B199" s="139">
        <v>291</v>
      </c>
      <c r="D199" s="127" t="s">
        <v>197</v>
      </c>
      <c r="E199" s="140" t="s">
        <v>723</v>
      </c>
    </row>
    <row r="200" spans="2:5">
      <c r="B200" s="139">
        <v>292</v>
      </c>
      <c r="D200" s="127" t="s">
        <v>518</v>
      </c>
      <c r="E200" s="140" t="s">
        <v>724</v>
      </c>
    </row>
    <row r="201" spans="2:5">
      <c r="B201" s="139">
        <v>293</v>
      </c>
      <c r="D201" s="127" t="s">
        <v>519</v>
      </c>
      <c r="E201" s="140" t="s">
        <v>951</v>
      </c>
    </row>
    <row r="202" spans="2:5">
      <c r="B202" s="139">
        <v>294</v>
      </c>
      <c r="D202" s="127" t="s">
        <v>198</v>
      </c>
      <c r="E202" s="140" t="s">
        <v>562</v>
      </c>
    </row>
    <row r="203" spans="2:5">
      <c r="B203" s="139">
        <v>295</v>
      </c>
      <c r="D203" s="127" t="s">
        <v>488</v>
      </c>
      <c r="E203" s="140" t="s">
        <v>563</v>
      </c>
    </row>
    <row r="204" spans="2:5">
      <c r="B204" s="139">
        <v>296</v>
      </c>
      <c r="D204" s="127" t="s">
        <v>199</v>
      </c>
      <c r="E204" s="140" t="s">
        <v>725</v>
      </c>
    </row>
    <row r="205" spans="2:5">
      <c r="B205" s="139">
        <v>297</v>
      </c>
      <c r="D205" s="127" t="s">
        <v>200</v>
      </c>
      <c r="E205" s="140" t="s">
        <v>726</v>
      </c>
    </row>
    <row r="206" spans="2:5">
      <c r="B206" s="139">
        <v>298</v>
      </c>
      <c r="D206" s="127" t="s">
        <v>201</v>
      </c>
      <c r="E206" s="140" t="s">
        <v>564</v>
      </c>
    </row>
    <row r="207" spans="2:5" ht="26.4">
      <c r="B207" s="139">
        <v>299</v>
      </c>
      <c r="D207" s="127" t="s">
        <v>202</v>
      </c>
      <c r="E207" s="140" t="s">
        <v>727</v>
      </c>
    </row>
    <row r="208" spans="2:5" ht="26.4">
      <c r="B208" s="139">
        <v>300</v>
      </c>
      <c r="D208" s="127" t="s">
        <v>520</v>
      </c>
      <c r="E208" s="140" t="s">
        <v>728</v>
      </c>
    </row>
    <row r="209" spans="2:5">
      <c r="B209" s="139">
        <v>301</v>
      </c>
      <c r="D209" s="127" t="s">
        <v>521</v>
      </c>
      <c r="E209" s="140" t="s">
        <v>952</v>
      </c>
    </row>
    <row r="210" spans="2:5">
      <c r="B210" s="139">
        <v>302</v>
      </c>
      <c r="D210" s="127" t="s">
        <v>489</v>
      </c>
      <c r="E210" s="140" t="s">
        <v>953</v>
      </c>
    </row>
    <row r="211" spans="2:5">
      <c r="B211" s="139">
        <v>303</v>
      </c>
      <c r="D211" s="127" t="s">
        <v>203</v>
      </c>
      <c r="E211" s="140" t="s">
        <v>729</v>
      </c>
    </row>
    <row r="212" spans="2:5">
      <c r="B212" s="139">
        <v>304</v>
      </c>
      <c r="D212" s="127" t="s">
        <v>490</v>
      </c>
      <c r="E212" s="140" t="s">
        <v>730</v>
      </c>
    </row>
    <row r="213" spans="2:5">
      <c r="B213" s="139">
        <v>305</v>
      </c>
      <c r="D213" s="127" t="s">
        <v>491</v>
      </c>
      <c r="E213" s="140" t="s">
        <v>565</v>
      </c>
    </row>
    <row r="214" spans="2:5">
      <c r="B214" s="139">
        <v>306</v>
      </c>
      <c r="D214" s="127" t="s">
        <v>204</v>
      </c>
      <c r="E214" s="140" t="s">
        <v>731</v>
      </c>
    </row>
    <row r="215" spans="2:5">
      <c r="B215" s="139">
        <v>307</v>
      </c>
      <c r="D215" s="127" t="s">
        <v>205</v>
      </c>
      <c r="E215" s="140" t="s">
        <v>566</v>
      </c>
    </row>
    <row r="216" spans="2:5">
      <c r="B216" s="139">
        <v>308</v>
      </c>
      <c r="D216" s="127" t="s">
        <v>492</v>
      </c>
      <c r="E216" s="140" t="s">
        <v>732</v>
      </c>
    </row>
    <row r="217" spans="2:5">
      <c r="B217" s="139">
        <v>309</v>
      </c>
      <c r="D217" s="127" t="s">
        <v>206</v>
      </c>
      <c r="E217" s="140" t="s">
        <v>733</v>
      </c>
    </row>
    <row r="218" spans="2:5">
      <c r="B218" s="139">
        <v>310</v>
      </c>
      <c r="D218" s="127" t="s">
        <v>207</v>
      </c>
      <c r="E218" s="140" t="s">
        <v>734</v>
      </c>
    </row>
    <row r="219" spans="2:5" ht="26.4">
      <c r="B219" s="139">
        <v>311</v>
      </c>
      <c r="D219" s="127" t="s">
        <v>208</v>
      </c>
      <c r="E219" s="140" t="s">
        <v>735</v>
      </c>
    </row>
    <row r="220" spans="2:5">
      <c r="B220" s="139">
        <v>312</v>
      </c>
      <c r="D220" s="127" t="s">
        <v>209</v>
      </c>
      <c r="E220" s="140" t="s">
        <v>736</v>
      </c>
    </row>
    <row r="221" spans="2:5">
      <c r="B221" s="139">
        <v>313</v>
      </c>
      <c r="C221" s="136" t="s">
        <v>928</v>
      </c>
      <c r="D221" s="127" t="s">
        <v>954</v>
      </c>
      <c r="E221" s="166" t="s">
        <v>955</v>
      </c>
    </row>
    <row r="222" spans="2:5">
      <c r="B222" s="139">
        <v>314</v>
      </c>
      <c r="D222" s="127" t="s">
        <v>210</v>
      </c>
      <c r="E222" s="140" t="s">
        <v>956</v>
      </c>
    </row>
    <row r="223" spans="2:5">
      <c r="B223" s="139">
        <v>315</v>
      </c>
      <c r="D223" s="127" t="s">
        <v>211</v>
      </c>
      <c r="E223" s="140" t="s">
        <v>737</v>
      </c>
    </row>
    <row r="224" spans="2:5">
      <c r="B224" s="139">
        <v>316</v>
      </c>
      <c r="D224" s="127" t="s">
        <v>212</v>
      </c>
      <c r="E224" s="140" t="s">
        <v>738</v>
      </c>
    </row>
    <row r="225" spans="1:6">
      <c r="B225" s="139">
        <v>317</v>
      </c>
      <c r="D225" s="127" t="s">
        <v>213</v>
      </c>
      <c r="E225" s="140" t="s">
        <v>739</v>
      </c>
    </row>
    <row r="226" spans="1:6">
      <c r="B226" s="139">
        <v>318</v>
      </c>
      <c r="D226" s="127" t="s">
        <v>214</v>
      </c>
      <c r="E226" s="140" t="s">
        <v>567</v>
      </c>
    </row>
    <row r="227" spans="1:6">
      <c r="B227" s="139">
        <v>319</v>
      </c>
      <c r="D227" s="127" t="s">
        <v>493</v>
      </c>
      <c r="E227" s="140" t="s">
        <v>740</v>
      </c>
    </row>
    <row r="228" spans="1:6">
      <c r="B228" s="139">
        <v>320</v>
      </c>
      <c r="D228" s="127" t="s">
        <v>215</v>
      </c>
      <c r="E228" s="140" t="s">
        <v>741</v>
      </c>
    </row>
    <row r="229" spans="1:6" ht="39.6">
      <c r="B229" s="139">
        <v>321</v>
      </c>
      <c r="D229" s="127" t="s">
        <v>216</v>
      </c>
      <c r="E229" s="140" t="s">
        <v>742</v>
      </c>
    </row>
    <row r="230" spans="1:6">
      <c r="B230" s="139">
        <v>322</v>
      </c>
      <c r="D230" s="127" t="s">
        <v>217</v>
      </c>
      <c r="E230" s="140" t="s">
        <v>743</v>
      </c>
    </row>
    <row r="231" spans="1:6" ht="26.4">
      <c r="B231" s="139">
        <v>323</v>
      </c>
      <c r="D231" s="127" t="s">
        <v>218</v>
      </c>
      <c r="E231" s="140" t="s">
        <v>744</v>
      </c>
    </row>
    <row r="232" spans="1:6">
      <c r="A232" s="129"/>
      <c r="B232" s="139">
        <v>324</v>
      </c>
      <c r="C232" s="138" t="s">
        <v>517</v>
      </c>
      <c r="D232" s="128" t="s">
        <v>957</v>
      </c>
      <c r="E232" s="128" t="s">
        <v>524</v>
      </c>
      <c r="F232" s="130"/>
    </row>
    <row r="233" spans="1:6">
      <c r="A233" s="129"/>
      <c r="B233" s="139">
        <v>325</v>
      </c>
      <c r="C233" s="138" t="s">
        <v>517</v>
      </c>
      <c r="D233" s="128" t="s">
        <v>958</v>
      </c>
      <c r="E233" s="128" t="s">
        <v>907</v>
      </c>
      <c r="F233" s="130"/>
    </row>
    <row r="234" spans="1:6">
      <c r="A234" s="129"/>
      <c r="B234" s="139">
        <v>326</v>
      </c>
      <c r="C234" s="138" t="s">
        <v>926</v>
      </c>
      <c r="D234" s="128" t="s">
        <v>959</v>
      </c>
      <c r="E234" s="128" t="s">
        <v>960</v>
      </c>
      <c r="F234" s="130"/>
    </row>
    <row r="235" spans="1:6">
      <c r="B235" s="139">
        <v>327</v>
      </c>
      <c r="D235" s="127" t="s">
        <v>219</v>
      </c>
      <c r="E235" s="140" t="s">
        <v>568</v>
      </c>
    </row>
    <row r="236" spans="1:6" ht="14.4">
      <c r="B236" s="139">
        <v>328</v>
      </c>
      <c r="D236" s="127" t="s">
        <v>220</v>
      </c>
      <c r="E236" s="168" t="s">
        <v>913</v>
      </c>
    </row>
    <row r="237" spans="1:6">
      <c r="B237" s="139">
        <v>329</v>
      </c>
      <c r="D237" s="127" t="s">
        <v>221</v>
      </c>
      <c r="E237" s="140" t="s">
        <v>745</v>
      </c>
    </row>
    <row r="238" spans="1:6">
      <c r="B238" s="139">
        <v>330</v>
      </c>
      <c r="D238" s="127" t="s">
        <v>222</v>
      </c>
      <c r="E238" s="140" t="s">
        <v>746</v>
      </c>
    </row>
    <row r="239" spans="1:6">
      <c r="B239" s="139">
        <v>331</v>
      </c>
      <c r="D239" s="127" t="s">
        <v>223</v>
      </c>
      <c r="E239" s="140" t="s">
        <v>747</v>
      </c>
    </row>
    <row r="240" spans="1:6">
      <c r="B240" s="139">
        <v>332</v>
      </c>
      <c r="D240" s="127" t="s">
        <v>224</v>
      </c>
      <c r="E240" s="140" t="s">
        <v>748</v>
      </c>
    </row>
    <row r="241" spans="2:5">
      <c r="B241" s="139">
        <v>333</v>
      </c>
      <c r="D241" s="127" t="s">
        <v>225</v>
      </c>
      <c r="E241" s="140" t="s">
        <v>749</v>
      </c>
    </row>
    <row r="242" spans="2:5">
      <c r="B242" s="139">
        <v>334</v>
      </c>
      <c r="D242" s="127" t="s">
        <v>226</v>
      </c>
      <c r="E242" s="140" t="s">
        <v>750</v>
      </c>
    </row>
    <row r="243" spans="2:5">
      <c r="B243" s="139">
        <v>335</v>
      </c>
      <c r="D243" s="127" t="s">
        <v>227</v>
      </c>
      <c r="E243" s="140" t="s">
        <v>751</v>
      </c>
    </row>
    <row r="244" spans="2:5">
      <c r="B244" s="139">
        <v>336</v>
      </c>
      <c r="D244" s="127" t="s">
        <v>228</v>
      </c>
      <c r="E244" s="140" t="s">
        <v>569</v>
      </c>
    </row>
    <row r="245" spans="2:5">
      <c r="B245" s="139">
        <v>337</v>
      </c>
      <c r="D245" s="127" t="s">
        <v>229</v>
      </c>
      <c r="E245" s="140" t="s">
        <v>752</v>
      </c>
    </row>
    <row r="246" spans="2:5">
      <c r="B246" s="139">
        <v>338</v>
      </c>
      <c r="D246" s="127" t="s">
        <v>230</v>
      </c>
      <c r="E246" s="140" t="s">
        <v>570</v>
      </c>
    </row>
    <row r="247" spans="2:5">
      <c r="B247" s="139">
        <v>339</v>
      </c>
      <c r="D247" s="127" t="s">
        <v>231</v>
      </c>
      <c r="E247" s="140" t="s">
        <v>753</v>
      </c>
    </row>
    <row r="248" spans="2:5">
      <c r="B248" s="139">
        <v>340</v>
      </c>
      <c r="D248" s="127" t="s">
        <v>232</v>
      </c>
      <c r="E248" s="140" t="s">
        <v>571</v>
      </c>
    </row>
    <row r="249" spans="2:5">
      <c r="B249" s="139">
        <v>341</v>
      </c>
      <c r="D249" s="127" t="s">
        <v>233</v>
      </c>
      <c r="E249" s="140" t="s">
        <v>754</v>
      </c>
    </row>
    <row r="250" spans="2:5">
      <c r="B250" s="139">
        <v>342</v>
      </c>
      <c r="D250" s="127" t="s">
        <v>234</v>
      </c>
      <c r="E250" s="140" t="s">
        <v>572</v>
      </c>
    </row>
    <row r="251" spans="2:5">
      <c r="B251" s="139">
        <v>343</v>
      </c>
      <c r="D251" s="127" t="s">
        <v>235</v>
      </c>
      <c r="E251" s="140" t="s">
        <v>755</v>
      </c>
    </row>
    <row r="252" spans="2:5">
      <c r="B252" s="139">
        <v>344</v>
      </c>
      <c r="D252" s="127" t="s">
        <v>236</v>
      </c>
      <c r="E252" s="140" t="s">
        <v>573</v>
      </c>
    </row>
    <row r="253" spans="2:5">
      <c r="B253" s="139">
        <v>345</v>
      </c>
      <c r="D253" s="127" t="s">
        <v>237</v>
      </c>
      <c r="E253" s="140" t="s">
        <v>756</v>
      </c>
    </row>
    <row r="254" spans="2:5">
      <c r="B254" s="139">
        <v>346</v>
      </c>
      <c r="D254" s="127" t="s">
        <v>238</v>
      </c>
      <c r="E254" s="140" t="s">
        <v>757</v>
      </c>
    </row>
    <row r="255" spans="2:5">
      <c r="B255" s="139">
        <v>347</v>
      </c>
      <c r="D255" s="127" t="s">
        <v>494</v>
      </c>
      <c r="E255" s="140" t="s">
        <v>494</v>
      </c>
    </row>
    <row r="256" spans="2:5">
      <c r="B256" s="139">
        <v>348</v>
      </c>
      <c r="D256" s="127" t="s">
        <v>239</v>
      </c>
      <c r="E256" s="140" t="s">
        <v>574</v>
      </c>
    </row>
    <row r="257" spans="2:5" ht="26.4">
      <c r="B257" s="139">
        <v>349</v>
      </c>
      <c r="D257" s="127" t="s">
        <v>240</v>
      </c>
      <c r="E257" s="140" t="s">
        <v>758</v>
      </c>
    </row>
    <row r="258" spans="2:5">
      <c r="B258" s="139">
        <v>350</v>
      </c>
      <c r="D258" s="127" t="s">
        <v>241</v>
      </c>
      <c r="E258" s="140" t="s">
        <v>759</v>
      </c>
    </row>
    <row r="259" spans="2:5" ht="26.4">
      <c r="B259" s="139">
        <v>351</v>
      </c>
      <c r="D259" s="127" t="s">
        <v>242</v>
      </c>
      <c r="E259" s="140" t="s">
        <v>760</v>
      </c>
    </row>
    <row r="260" spans="2:5" ht="13.8">
      <c r="B260" s="139">
        <v>352</v>
      </c>
      <c r="D260" s="134" t="s">
        <v>961</v>
      </c>
      <c r="E260" s="167" t="s">
        <v>962</v>
      </c>
    </row>
    <row r="261" spans="2:5">
      <c r="B261" s="139">
        <v>353</v>
      </c>
      <c r="D261" s="127" t="s">
        <v>495</v>
      </c>
      <c r="E261" s="140" t="s">
        <v>575</v>
      </c>
    </row>
    <row r="262" spans="2:5">
      <c r="B262" s="139">
        <v>354</v>
      </c>
      <c r="D262" s="127" t="s">
        <v>243</v>
      </c>
      <c r="E262" s="140" t="s">
        <v>761</v>
      </c>
    </row>
    <row r="263" spans="2:5">
      <c r="B263" s="139">
        <v>355</v>
      </c>
      <c r="D263" s="127" t="s">
        <v>496</v>
      </c>
      <c r="E263" s="140" t="s">
        <v>762</v>
      </c>
    </row>
    <row r="264" spans="2:5">
      <c r="B264" s="139">
        <v>356</v>
      </c>
      <c r="D264" s="127" t="s">
        <v>244</v>
      </c>
      <c r="E264" s="140" t="s">
        <v>576</v>
      </c>
    </row>
    <row r="265" spans="2:5">
      <c r="B265" s="139">
        <v>357</v>
      </c>
      <c r="D265" s="127" t="s">
        <v>245</v>
      </c>
      <c r="E265" s="140" t="s">
        <v>577</v>
      </c>
    </row>
    <row r="266" spans="2:5">
      <c r="B266" s="139">
        <v>358</v>
      </c>
      <c r="D266" s="127" t="s">
        <v>246</v>
      </c>
      <c r="E266" s="140" t="s">
        <v>763</v>
      </c>
    </row>
    <row r="267" spans="2:5">
      <c r="B267" s="139">
        <v>359</v>
      </c>
      <c r="D267" s="127" t="s">
        <v>247</v>
      </c>
      <c r="E267" s="140" t="s">
        <v>764</v>
      </c>
    </row>
    <row r="268" spans="2:5">
      <c r="B268" s="139">
        <v>360</v>
      </c>
      <c r="D268" s="127" t="s">
        <v>248</v>
      </c>
      <c r="E268" s="140" t="s">
        <v>765</v>
      </c>
    </row>
    <row r="269" spans="2:5">
      <c r="B269" s="139">
        <v>361</v>
      </c>
      <c r="D269" s="127" t="s">
        <v>249</v>
      </c>
    </row>
    <row r="270" spans="2:5">
      <c r="B270" s="139">
        <v>362</v>
      </c>
      <c r="D270" s="127" t="s">
        <v>497</v>
      </c>
      <c r="E270" s="140" t="s">
        <v>766</v>
      </c>
    </row>
    <row r="271" spans="2:5" ht="26.4">
      <c r="B271" s="139">
        <v>363</v>
      </c>
      <c r="D271" s="127" t="s">
        <v>498</v>
      </c>
      <c r="E271" s="140" t="s">
        <v>767</v>
      </c>
    </row>
    <row r="272" spans="2:5" ht="26.4">
      <c r="B272" s="139">
        <v>364</v>
      </c>
      <c r="D272" s="127" t="s">
        <v>250</v>
      </c>
      <c r="E272" s="140" t="s">
        <v>768</v>
      </c>
    </row>
    <row r="273" spans="2:5">
      <c r="B273" s="139">
        <v>365</v>
      </c>
      <c r="D273" s="127" t="s">
        <v>251</v>
      </c>
      <c r="E273" s="140" t="s">
        <v>769</v>
      </c>
    </row>
    <row r="274" spans="2:5">
      <c r="B274" s="139">
        <v>366</v>
      </c>
      <c r="D274" s="127" t="s">
        <v>252</v>
      </c>
      <c r="E274" s="140" t="s">
        <v>770</v>
      </c>
    </row>
    <row r="275" spans="2:5">
      <c r="B275" s="139">
        <v>367</v>
      </c>
      <c r="D275" s="127" t="s">
        <v>253</v>
      </c>
      <c r="E275" s="140" t="s">
        <v>578</v>
      </c>
    </row>
    <row r="276" spans="2:5">
      <c r="B276" s="139">
        <v>368</v>
      </c>
      <c r="D276" s="127" t="s">
        <v>254</v>
      </c>
      <c r="E276" s="140" t="s">
        <v>579</v>
      </c>
    </row>
    <row r="277" spans="2:5">
      <c r="B277" s="139">
        <v>369</v>
      </c>
      <c r="D277" s="127" t="s">
        <v>255</v>
      </c>
      <c r="E277" s="140" t="s">
        <v>771</v>
      </c>
    </row>
    <row r="278" spans="2:5">
      <c r="B278" s="139">
        <v>370</v>
      </c>
      <c r="D278" s="127" t="s">
        <v>256</v>
      </c>
      <c r="E278" s="140" t="s">
        <v>580</v>
      </c>
    </row>
    <row r="279" spans="2:5">
      <c r="B279" s="139">
        <v>371</v>
      </c>
      <c r="D279" s="127" t="s">
        <v>257</v>
      </c>
      <c r="E279" s="140" t="s">
        <v>772</v>
      </c>
    </row>
    <row r="280" spans="2:5">
      <c r="B280" s="139">
        <v>372</v>
      </c>
      <c r="D280" s="127" t="s">
        <v>258</v>
      </c>
      <c r="E280" s="140" t="s">
        <v>581</v>
      </c>
    </row>
    <row r="281" spans="2:5">
      <c r="B281" s="139">
        <v>373</v>
      </c>
      <c r="D281" s="127" t="s">
        <v>259</v>
      </c>
      <c r="E281" s="140" t="s">
        <v>582</v>
      </c>
    </row>
    <row r="282" spans="2:5">
      <c r="B282" s="139">
        <v>374</v>
      </c>
      <c r="D282" s="127" t="s">
        <v>260</v>
      </c>
      <c r="E282" s="140" t="s">
        <v>773</v>
      </c>
    </row>
    <row r="283" spans="2:5">
      <c r="B283" s="139">
        <v>375</v>
      </c>
      <c r="D283" s="127" t="s">
        <v>261</v>
      </c>
      <c r="E283" s="140" t="s">
        <v>774</v>
      </c>
    </row>
    <row r="284" spans="2:5">
      <c r="B284" s="139">
        <v>376</v>
      </c>
      <c r="D284" s="127" t="s">
        <v>262</v>
      </c>
      <c r="E284" s="140" t="s">
        <v>775</v>
      </c>
    </row>
    <row r="285" spans="2:5">
      <c r="B285" s="139">
        <v>377</v>
      </c>
      <c r="D285" s="127" t="s">
        <v>263</v>
      </c>
      <c r="E285" s="140" t="s">
        <v>776</v>
      </c>
    </row>
    <row r="286" spans="2:5">
      <c r="B286" s="139">
        <v>378</v>
      </c>
      <c r="D286" s="127" t="s">
        <v>264</v>
      </c>
      <c r="E286" s="140" t="s">
        <v>583</v>
      </c>
    </row>
    <row r="287" spans="2:5">
      <c r="B287" s="139">
        <v>379</v>
      </c>
      <c r="D287" s="127" t="s">
        <v>265</v>
      </c>
      <c r="E287" s="140" t="s">
        <v>963</v>
      </c>
    </row>
    <row r="288" spans="2:5">
      <c r="B288" s="139">
        <v>380</v>
      </c>
      <c r="D288" s="127" t="s">
        <v>266</v>
      </c>
      <c r="E288" s="140" t="s">
        <v>777</v>
      </c>
    </row>
    <row r="289" spans="2:5">
      <c r="B289" s="139">
        <v>381</v>
      </c>
      <c r="D289" s="127" t="s">
        <v>267</v>
      </c>
      <c r="E289" s="140" t="s">
        <v>584</v>
      </c>
    </row>
    <row r="290" spans="2:5" ht="39.6">
      <c r="B290" s="139">
        <v>382</v>
      </c>
      <c r="D290" s="127" t="s">
        <v>268</v>
      </c>
      <c r="E290" s="140" t="s">
        <v>778</v>
      </c>
    </row>
    <row r="291" spans="2:5">
      <c r="B291" s="139">
        <v>383</v>
      </c>
      <c r="D291" s="127" t="s">
        <v>269</v>
      </c>
      <c r="E291" s="140" t="s">
        <v>779</v>
      </c>
    </row>
    <row r="292" spans="2:5" ht="26.4">
      <c r="B292" s="139">
        <v>384</v>
      </c>
      <c r="D292" s="127" t="s">
        <v>270</v>
      </c>
      <c r="E292" s="140" t="s">
        <v>780</v>
      </c>
    </row>
    <row r="293" spans="2:5">
      <c r="B293" s="139">
        <v>385</v>
      </c>
      <c r="D293" s="127" t="s">
        <v>271</v>
      </c>
      <c r="E293" s="140" t="s">
        <v>781</v>
      </c>
    </row>
    <row r="294" spans="2:5" ht="26.4">
      <c r="B294" s="139">
        <v>386</v>
      </c>
      <c r="D294" s="127" t="s">
        <v>272</v>
      </c>
      <c r="E294" s="140" t="s">
        <v>782</v>
      </c>
    </row>
    <row r="295" spans="2:5" ht="26.4">
      <c r="B295" s="139">
        <v>387</v>
      </c>
      <c r="D295" s="127" t="s">
        <v>273</v>
      </c>
      <c r="E295" s="140" t="s">
        <v>783</v>
      </c>
    </row>
    <row r="296" spans="2:5" ht="26.4">
      <c r="B296" s="139">
        <v>388</v>
      </c>
      <c r="D296" s="127" t="s">
        <v>274</v>
      </c>
      <c r="E296" s="140" t="s">
        <v>784</v>
      </c>
    </row>
    <row r="297" spans="2:5" ht="26.4">
      <c r="B297" s="139">
        <v>389</v>
      </c>
      <c r="D297" s="127" t="s">
        <v>275</v>
      </c>
      <c r="E297" s="140" t="s">
        <v>785</v>
      </c>
    </row>
    <row r="298" spans="2:5" ht="26.4">
      <c r="B298" s="139">
        <v>390</v>
      </c>
      <c r="D298" s="127" t="s">
        <v>276</v>
      </c>
      <c r="E298" s="140" t="s">
        <v>786</v>
      </c>
    </row>
    <row r="299" spans="2:5" ht="26.4">
      <c r="B299" s="139">
        <v>391</v>
      </c>
      <c r="D299" s="127" t="s">
        <v>277</v>
      </c>
      <c r="E299" s="140" t="s">
        <v>787</v>
      </c>
    </row>
    <row r="300" spans="2:5" ht="26.4">
      <c r="B300" s="139">
        <v>392</v>
      </c>
      <c r="D300" s="127" t="s">
        <v>278</v>
      </c>
      <c r="E300" s="140" t="s">
        <v>788</v>
      </c>
    </row>
    <row r="301" spans="2:5" ht="26.4">
      <c r="B301" s="139">
        <v>393</v>
      </c>
      <c r="D301" s="127" t="s">
        <v>279</v>
      </c>
      <c r="E301" s="140" t="s">
        <v>789</v>
      </c>
    </row>
    <row r="302" spans="2:5" ht="26.4">
      <c r="B302" s="139">
        <v>394</v>
      </c>
      <c r="D302" s="127" t="s">
        <v>280</v>
      </c>
      <c r="E302" s="140" t="s">
        <v>790</v>
      </c>
    </row>
    <row r="303" spans="2:5" ht="26.4">
      <c r="B303" s="139">
        <v>395</v>
      </c>
      <c r="D303" s="127" t="s">
        <v>281</v>
      </c>
      <c r="E303" s="140" t="s">
        <v>791</v>
      </c>
    </row>
    <row r="304" spans="2:5" ht="26.4">
      <c r="B304" s="139">
        <v>396</v>
      </c>
      <c r="D304" s="127" t="s">
        <v>282</v>
      </c>
      <c r="E304" s="140" t="s">
        <v>792</v>
      </c>
    </row>
    <row r="305" spans="2:5" ht="26.4">
      <c r="B305" s="139">
        <v>397</v>
      </c>
      <c r="D305" s="127" t="s">
        <v>283</v>
      </c>
      <c r="E305" s="140" t="s">
        <v>793</v>
      </c>
    </row>
    <row r="306" spans="2:5" ht="26.4">
      <c r="B306" s="139">
        <v>398</v>
      </c>
      <c r="D306" s="127" t="s">
        <v>284</v>
      </c>
      <c r="E306" s="140" t="s">
        <v>794</v>
      </c>
    </row>
    <row r="307" spans="2:5" ht="26.4">
      <c r="B307" s="139">
        <v>399</v>
      </c>
      <c r="D307" s="127" t="s">
        <v>285</v>
      </c>
      <c r="E307" s="140" t="s">
        <v>795</v>
      </c>
    </row>
    <row r="308" spans="2:5" ht="26.4">
      <c r="B308" s="139">
        <v>400</v>
      </c>
      <c r="D308" s="127" t="s">
        <v>286</v>
      </c>
      <c r="E308" s="140" t="s">
        <v>796</v>
      </c>
    </row>
    <row r="309" spans="2:5" ht="26.4">
      <c r="B309" s="139">
        <v>401</v>
      </c>
      <c r="D309" s="127" t="s">
        <v>287</v>
      </c>
      <c r="E309" s="140" t="s">
        <v>797</v>
      </c>
    </row>
    <row r="310" spans="2:5" ht="26.4">
      <c r="B310" s="139">
        <v>402</v>
      </c>
      <c r="D310" s="127" t="s">
        <v>288</v>
      </c>
      <c r="E310" s="140" t="s">
        <v>798</v>
      </c>
    </row>
    <row r="311" spans="2:5" ht="26.4">
      <c r="B311" s="139">
        <v>403</v>
      </c>
      <c r="D311" s="127" t="s">
        <v>289</v>
      </c>
      <c r="E311" s="140" t="s">
        <v>799</v>
      </c>
    </row>
    <row r="312" spans="2:5" ht="26.4">
      <c r="B312" s="139">
        <v>404</v>
      </c>
      <c r="D312" s="127" t="s">
        <v>290</v>
      </c>
      <c r="E312" s="140" t="s">
        <v>800</v>
      </c>
    </row>
    <row r="313" spans="2:5">
      <c r="B313" s="139">
        <v>405</v>
      </c>
      <c r="D313" s="127" t="s">
        <v>499</v>
      </c>
      <c r="E313" s="140" t="s">
        <v>801</v>
      </c>
    </row>
    <row r="314" spans="2:5">
      <c r="B314" s="139">
        <v>406</v>
      </c>
      <c r="D314" s="127" t="s">
        <v>500</v>
      </c>
      <c r="E314" s="140" t="s">
        <v>801</v>
      </c>
    </row>
    <row r="315" spans="2:5">
      <c r="B315" s="139">
        <v>407</v>
      </c>
      <c r="D315" s="127" t="s">
        <v>291</v>
      </c>
      <c r="E315" s="140" t="s">
        <v>802</v>
      </c>
    </row>
    <row r="316" spans="2:5" ht="26.4">
      <c r="B316" s="139">
        <v>408</v>
      </c>
      <c r="D316" s="127" t="s">
        <v>292</v>
      </c>
      <c r="E316" s="140" t="s">
        <v>803</v>
      </c>
    </row>
    <row r="317" spans="2:5">
      <c r="B317" s="139">
        <v>409</v>
      </c>
      <c r="D317" s="127" t="s">
        <v>293</v>
      </c>
      <c r="E317" s="140" t="s">
        <v>804</v>
      </c>
    </row>
    <row r="318" spans="2:5" ht="26.4">
      <c r="B318" s="139">
        <v>410</v>
      </c>
      <c r="D318" s="127" t="s">
        <v>294</v>
      </c>
      <c r="E318" s="140" t="s">
        <v>805</v>
      </c>
    </row>
    <row r="319" spans="2:5">
      <c r="B319" s="139">
        <v>411</v>
      </c>
      <c r="D319" s="127" t="s">
        <v>501</v>
      </c>
      <c r="E319" s="140" t="s">
        <v>806</v>
      </c>
    </row>
    <row r="320" spans="2:5" ht="26.4">
      <c r="B320" s="139">
        <v>412</v>
      </c>
      <c r="D320" s="127" t="s">
        <v>502</v>
      </c>
      <c r="E320" s="140" t="s">
        <v>807</v>
      </c>
    </row>
    <row r="321" spans="1:6">
      <c r="B321" s="139">
        <v>413</v>
      </c>
      <c r="D321" s="127" t="s">
        <v>295</v>
      </c>
      <c r="E321" s="140" t="s">
        <v>808</v>
      </c>
    </row>
    <row r="322" spans="1:6" ht="26.4">
      <c r="B322" s="139">
        <v>414</v>
      </c>
      <c r="D322" s="127" t="s">
        <v>296</v>
      </c>
      <c r="E322" s="140" t="s">
        <v>809</v>
      </c>
    </row>
    <row r="323" spans="1:6">
      <c r="B323" s="139">
        <v>415</v>
      </c>
      <c r="D323" s="127" t="s">
        <v>297</v>
      </c>
      <c r="E323" s="140" t="s">
        <v>810</v>
      </c>
    </row>
    <row r="324" spans="1:6" ht="39.6">
      <c r="B324" s="139">
        <v>416</v>
      </c>
      <c r="D324" s="127" t="s">
        <v>298</v>
      </c>
      <c r="E324" s="140" t="s">
        <v>811</v>
      </c>
    </row>
    <row r="325" spans="1:6">
      <c r="B325" s="139">
        <v>417</v>
      </c>
      <c r="D325" s="127" t="s">
        <v>299</v>
      </c>
      <c r="E325" s="140" t="s">
        <v>812</v>
      </c>
    </row>
    <row r="326" spans="1:6" ht="26.4">
      <c r="B326" s="139">
        <v>418</v>
      </c>
      <c r="D326" s="127" t="s">
        <v>300</v>
      </c>
      <c r="E326" s="140" t="s">
        <v>813</v>
      </c>
    </row>
    <row r="327" spans="1:6" ht="26.4">
      <c r="B327" s="139">
        <v>419</v>
      </c>
      <c r="D327" s="127" t="s">
        <v>301</v>
      </c>
      <c r="E327" s="140" t="s">
        <v>814</v>
      </c>
    </row>
    <row r="328" spans="1:6" ht="26.4">
      <c r="B328" s="139">
        <v>420</v>
      </c>
      <c r="D328" s="127" t="s">
        <v>302</v>
      </c>
      <c r="E328" s="140" t="s">
        <v>815</v>
      </c>
    </row>
    <row r="329" spans="1:6">
      <c r="B329" s="139">
        <v>421</v>
      </c>
      <c r="D329" s="127" t="s">
        <v>303</v>
      </c>
      <c r="E329" s="140" t="s">
        <v>816</v>
      </c>
    </row>
    <row r="330" spans="1:6">
      <c r="B330" s="139">
        <v>422</v>
      </c>
      <c r="D330" s="127" t="s">
        <v>304</v>
      </c>
      <c r="E330" s="140" t="s">
        <v>817</v>
      </c>
    </row>
    <row r="331" spans="1:6">
      <c r="B331" s="139">
        <v>423</v>
      </c>
      <c r="D331" s="127" t="s">
        <v>305</v>
      </c>
      <c r="E331" s="140" t="s">
        <v>818</v>
      </c>
    </row>
    <row r="332" spans="1:6">
      <c r="B332" s="139">
        <v>424</v>
      </c>
      <c r="D332" s="127" t="s">
        <v>306</v>
      </c>
      <c r="E332" s="140" t="s">
        <v>819</v>
      </c>
    </row>
    <row r="333" spans="1:6">
      <c r="B333" s="139">
        <v>425</v>
      </c>
      <c r="D333" s="127" t="s">
        <v>307</v>
      </c>
      <c r="E333" s="140" t="s">
        <v>820</v>
      </c>
    </row>
    <row r="334" spans="1:6">
      <c r="B334" s="139">
        <v>426</v>
      </c>
      <c r="D334" s="127" t="s">
        <v>308</v>
      </c>
      <c r="E334" s="140" t="s">
        <v>821</v>
      </c>
    </row>
    <row r="335" spans="1:6">
      <c r="B335" s="139">
        <v>427</v>
      </c>
      <c r="D335" s="127" t="s">
        <v>503</v>
      </c>
      <c r="E335" s="140" t="s">
        <v>822</v>
      </c>
    </row>
    <row r="336" spans="1:6" ht="43.2">
      <c r="A336" s="134"/>
      <c r="B336" s="139">
        <v>428</v>
      </c>
      <c r="C336" s="137" t="s">
        <v>928</v>
      </c>
      <c r="D336" s="134" t="s">
        <v>964</v>
      </c>
      <c r="E336" s="134" t="s">
        <v>965</v>
      </c>
      <c r="F336" s="135"/>
    </row>
    <row r="337" spans="2:5" ht="39.6">
      <c r="B337" s="139">
        <v>429</v>
      </c>
      <c r="D337" s="127" t="s">
        <v>309</v>
      </c>
      <c r="E337" s="140" t="s">
        <v>823</v>
      </c>
    </row>
    <row r="338" spans="2:5">
      <c r="B338" s="139">
        <v>430</v>
      </c>
      <c r="D338" s="127" t="s">
        <v>310</v>
      </c>
      <c r="E338" s="140" t="s">
        <v>824</v>
      </c>
    </row>
    <row r="339" spans="2:5">
      <c r="B339" s="139">
        <v>431</v>
      </c>
      <c r="D339" s="127" t="s">
        <v>311</v>
      </c>
      <c r="E339" s="140" t="s">
        <v>825</v>
      </c>
    </row>
    <row r="340" spans="2:5">
      <c r="B340" s="139">
        <v>432</v>
      </c>
      <c r="D340" s="127" t="s">
        <v>312</v>
      </c>
      <c r="E340" s="140" t="s">
        <v>826</v>
      </c>
    </row>
    <row r="341" spans="2:5" ht="26.4">
      <c r="B341" s="139">
        <v>433</v>
      </c>
      <c r="D341" s="127" t="s">
        <v>313</v>
      </c>
      <c r="E341" s="140" t="s">
        <v>827</v>
      </c>
    </row>
    <row r="342" spans="2:5">
      <c r="B342" s="139">
        <v>434</v>
      </c>
      <c r="D342" s="127" t="s">
        <v>314</v>
      </c>
      <c r="E342" s="140" t="s">
        <v>828</v>
      </c>
    </row>
    <row r="343" spans="2:5">
      <c r="B343" s="139">
        <v>435</v>
      </c>
      <c r="D343" s="127" t="s">
        <v>315</v>
      </c>
      <c r="E343" s="140" t="s">
        <v>829</v>
      </c>
    </row>
    <row r="344" spans="2:5">
      <c r="B344" s="139">
        <v>436</v>
      </c>
      <c r="D344" s="127" t="s">
        <v>316</v>
      </c>
      <c r="E344" s="140" t="s">
        <v>830</v>
      </c>
    </row>
    <row r="345" spans="2:5">
      <c r="B345" s="139">
        <v>437</v>
      </c>
      <c r="D345" s="127" t="s">
        <v>317</v>
      </c>
      <c r="E345" s="140" t="s">
        <v>831</v>
      </c>
    </row>
    <row r="346" spans="2:5">
      <c r="B346" s="139">
        <v>438</v>
      </c>
      <c r="D346" s="127" t="s">
        <v>504</v>
      </c>
      <c r="E346" s="140" t="s">
        <v>832</v>
      </c>
    </row>
    <row r="347" spans="2:5">
      <c r="B347" s="139">
        <v>439</v>
      </c>
      <c r="D347" s="127" t="s">
        <v>318</v>
      </c>
      <c r="E347" s="140" t="s">
        <v>833</v>
      </c>
    </row>
    <row r="348" spans="2:5">
      <c r="B348" s="139">
        <v>440</v>
      </c>
      <c r="D348" s="127" t="s">
        <v>505</v>
      </c>
      <c r="E348" s="140" t="s">
        <v>834</v>
      </c>
    </row>
    <row r="349" spans="2:5" ht="26.4">
      <c r="B349" s="139">
        <v>441</v>
      </c>
      <c r="D349" s="127" t="s">
        <v>319</v>
      </c>
      <c r="E349" s="140" t="s">
        <v>835</v>
      </c>
    </row>
    <row r="350" spans="2:5">
      <c r="B350" s="139">
        <v>442</v>
      </c>
      <c r="D350" s="127" t="s">
        <v>320</v>
      </c>
      <c r="E350" s="140" t="s">
        <v>836</v>
      </c>
    </row>
    <row r="351" spans="2:5">
      <c r="B351" s="139">
        <v>443</v>
      </c>
      <c r="D351" s="127" t="s">
        <v>321</v>
      </c>
      <c r="E351" s="140" t="s">
        <v>837</v>
      </c>
    </row>
    <row r="352" spans="2:5">
      <c r="B352" s="139">
        <v>444</v>
      </c>
      <c r="D352" s="127" t="s">
        <v>322</v>
      </c>
      <c r="E352" s="140" t="s">
        <v>838</v>
      </c>
    </row>
    <row r="353" spans="2:5" ht="39.6">
      <c r="B353" s="139">
        <v>445</v>
      </c>
      <c r="D353" s="127" t="s">
        <v>389</v>
      </c>
      <c r="E353" s="140" t="s">
        <v>839</v>
      </c>
    </row>
    <row r="354" spans="2:5">
      <c r="B354" s="139">
        <v>446</v>
      </c>
      <c r="D354" s="127" t="s">
        <v>323</v>
      </c>
      <c r="E354" s="140" t="s">
        <v>840</v>
      </c>
    </row>
    <row r="355" spans="2:5">
      <c r="B355" s="139">
        <v>447</v>
      </c>
      <c r="D355" s="127" t="s">
        <v>324</v>
      </c>
      <c r="E355" s="140" t="s">
        <v>841</v>
      </c>
    </row>
    <row r="356" spans="2:5">
      <c r="B356" s="139">
        <v>448</v>
      </c>
      <c r="D356" s="127" t="s">
        <v>325</v>
      </c>
      <c r="E356" s="140" t="s">
        <v>842</v>
      </c>
    </row>
    <row r="357" spans="2:5">
      <c r="B357" s="139">
        <v>449</v>
      </c>
      <c r="D357" s="127" t="s">
        <v>326</v>
      </c>
      <c r="E357" s="140" t="s">
        <v>843</v>
      </c>
    </row>
    <row r="358" spans="2:5">
      <c r="B358" s="139">
        <v>450</v>
      </c>
      <c r="D358" s="127" t="s">
        <v>327</v>
      </c>
      <c r="E358" s="140" t="s">
        <v>844</v>
      </c>
    </row>
    <row r="359" spans="2:5" ht="26.4">
      <c r="B359" s="139">
        <v>451</v>
      </c>
      <c r="D359" s="127" t="s">
        <v>328</v>
      </c>
      <c r="E359" s="140" t="s">
        <v>845</v>
      </c>
    </row>
    <row r="360" spans="2:5">
      <c r="B360" s="139">
        <v>452</v>
      </c>
      <c r="D360" s="127" t="s">
        <v>329</v>
      </c>
      <c r="E360" s="140" t="s">
        <v>846</v>
      </c>
    </row>
    <row r="361" spans="2:5">
      <c r="B361" s="139">
        <v>453</v>
      </c>
      <c r="D361" s="127" t="s">
        <v>330</v>
      </c>
      <c r="E361" s="140" t="s">
        <v>847</v>
      </c>
    </row>
    <row r="362" spans="2:5">
      <c r="B362" s="139">
        <v>454</v>
      </c>
      <c r="D362" s="127" t="s">
        <v>331</v>
      </c>
      <c r="E362" s="140" t="s">
        <v>848</v>
      </c>
    </row>
    <row r="363" spans="2:5" ht="26.4">
      <c r="B363" s="139">
        <v>455</v>
      </c>
      <c r="D363" s="127" t="s">
        <v>506</v>
      </c>
      <c r="E363" s="140" t="s">
        <v>849</v>
      </c>
    </row>
    <row r="364" spans="2:5">
      <c r="B364" s="139">
        <v>456</v>
      </c>
      <c r="D364" s="127" t="s">
        <v>332</v>
      </c>
      <c r="E364" s="140" t="s">
        <v>585</v>
      </c>
    </row>
    <row r="365" spans="2:5">
      <c r="B365" s="139">
        <v>457</v>
      </c>
      <c r="D365" s="127" t="s">
        <v>333</v>
      </c>
      <c r="E365" s="140" t="s">
        <v>850</v>
      </c>
    </row>
    <row r="366" spans="2:5">
      <c r="B366" s="139">
        <v>458</v>
      </c>
      <c r="D366" s="127" t="s">
        <v>334</v>
      </c>
      <c r="E366" s="140" t="s">
        <v>851</v>
      </c>
    </row>
    <row r="367" spans="2:5">
      <c r="B367" s="139">
        <v>459</v>
      </c>
      <c r="D367" s="127" t="s">
        <v>507</v>
      </c>
      <c r="E367" s="140" t="s">
        <v>852</v>
      </c>
    </row>
    <row r="368" spans="2:5" ht="26.4">
      <c r="B368" s="139">
        <v>460</v>
      </c>
      <c r="D368" s="127" t="s">
        <v>508</v>
      </c>
      <c r="E368" s="140" t="s">
        <v>853</v>
      </c>
    </row>
    <row r="369" spans="1:6">
      <c r="B369" s="139">
        <v>461</v>
      </c>
      <c r="D369" s="127" t="s">
        <v>335</v>
      </c>
      <c r="E369" s="140" t="s">
        <v>586</v>
      </c>
    </row>
    <row r="370" spans="1:6">
      <c r="B370" s="139">
        <v>462</v>
      </c>
      <c r="D370" s="127" t="s">
        <v>336</v>
      </c>
      <c r="E370" s="140" t="s">
        <v>854</v>
      </c>
    </row>
    <row r="371" spans="1:6">
      <c r="B371" s="139">
        <v>463</v>
      </c>
      <c r="D371" s="127" t="s">
        <v>337</v>
      </c>
      <c r="E371" s="140" t="s">
        <v>855</v>
      </c>
    </row>
    <row r="372" spans="1:6" ht="39.6">
      <c r="B372" s="139">
        <v>464</v>
      </c>
      <c r="D372" s="127" t="s">
        <v>338</v>
      </c>
      <c r="E372" s="140" t="s">
        <v>856</v>
      </c>
    </row>
    <row r="373" spans="1:6">
      <c r="B373" s="139">
        <v>465</v>
      </c>
      <c r="D373" s="127" t="s">
        <v>339</v>
      </c>
      <c r="E373" s="140" t="s">
        <v>857</v>
      </c>
    </row>
    <row r="374" spans="1:6">
      <c r="A374" s="129"/>
      <c r="B374" s="139">
        <v>466</v>
      </c>
      <c r="C374" s="138" t="s">
        <v>517</v>
      </c>
      <c r="D374" s="128" t="s">
        <v>908</v>
      </c>
      <c r="E374" s="128" t="s">
        <v>966</v>
      </c>
      <c r="F374" s="130"/>
    </row>
    <row r="375" spans="1:6">
      <c r="A375" s="129"/>
      <c r="B375" s="139">
        <v>467</v>
      </c>
      <c r="C375" s="138" t="s">
        <v>517</v>
      </c>
      <c r="D375" s="128" t="s">
        <v>967</v>
      </c>
      <c r="E375" s="128" t="s">
        <v>909</v>
      </c>
      <c r="F375" s="130"/>
    </row>
    <row r="376" spans="1:6" ht="14.4">
      <c r="B376" s="139">
        <v>468</v>
      </c>
      <c r="D376" s="127" t="s">
        <v>340</v>
      </c>
      <c r="E376" s="168" t="s">
        <v>915</v>
      </c>
    </row>
    <row r="377" spans="1:6">
      <c r="B377" s="139">
        <v>469</v>
      </c>
      <c r="D377" s="127" t="s">
        <v>341</v>
      </c>
      <c r="E377" s="140" t="s">
        <v>858</v>
      </c>
    </row>
    <row r="378" spans="1:6">
      <c r="B378" s="139">
        <v>470</v>
      </c>
      <c r="D378" s="127" t="s">
        <v>342</v>
      </c>
      <c r="E378" s="140" t="s">
        <v>587</v>
      </c>
    </row>
    <row r="379" spans="1:6" ht="26.4">
      <c r="B379" s="139">
        <v>471</v>
      </c>
      <c r="D379" s="127" t="s">
        <v>343</v>
      </c>
      <c r="E379" s="140" t="s">
        <v>859</v>
      </c>
    </row>
    <row r="380" spans="1:6">
      <c r="B380" s="139">
        <v>472</v>
      </c>
      <c r="D380" s="127" t="s">
        <v>344</v>
      </c>
      <c r="E380" s="140" t="s">
        <v>588</v>
      </c>
    </row>
    <row r="381" spans="1:6" ht="26.4">
      <c r="B381" s="139">
        <v>473</v>
      </c>
      <c r="D381" s="127" t="s">
        <v>345</v>
      </c>
      <c r="E381" s="140" t="s">
        <v>860</v>
      </c>
    </row>
    <row r="382" spans="1:6">
      <c r="B382" s="139">
        <v>474</v>
      </c>
      <c r="D382" s="127" t="s">
        <v>346</v>
      </c>
      <c r="E382" s="140" t="s">
        <v>589</v>
      </c>
    </row>
    <row r="383" spans="1:6">
      <c r="B383" s="139">
        <v>475</v>
      </c>
      <c r="D383" s="127" t="s">
        <v>347</v>
      </c>
      <c r="E383" s="140" t="s">
        <v>861</v>
      </c>
    </row>
    <row r="384" spans="1:6">
      <c r="B384" s="139">
        <v>476</v>
      </c>
      <c r="D384" s="127" t="s">
        <v>348</v>
      </c>
      <c r="E384" s="140" t="s">
        <v>862</v>
      </c>
    </row>
    <row r="385" spans="2:5">
      <c r="B385" s="139">
        <v>477</v>
      </c>
      <c r="D385" s="127" t="s">
        <v>349</v>
      </c>
      <c r="E385" s="140" t="s">
        <v>863</v>
      </c>
    </row>
    <row r="386" spans="2:5">
      <c r="B386" s="139">
        <v>478</v>
      </c>
      <c r="D386" s="127" t="s">
        <v>350</v>
      </c>
      <c r="E386" s="140" t="s">
        <v>864</v>
      </c>
    </row>
    <row r="387" spans="2:5">
      <c r="B387" s="139">
        <v>479</v>
      </c>
      <c r="D387" s="127" t="s">
        <v>351</v>
      </c>
      <c r="E387" s="140" t="s">
        <v>865</v>
      </c>
    </row>
    <row r="388" spans="2:5">
      <c r="B388" s="139">
        <v>480</v>
      </c>
      <c r="D388" s="127" t="s">
        <v>352</v>
      </c>
      <c r="E388" s="140" t="s">
        <v>352</v>
      </c>
    </row>
    <row r="389" spans="2:5">
      <c r="B389" s="139">
        <v>481</v>
      </c>
      <c r="D389" s="127" t="s">
        <v>509</v>
      </c>
      <c r="E389" s="140" t="s">
        <v>866</v>
      </c>
    </row>
    <row r="390" spans="2:5" ht="26.4">
      <c r="B390" s="139">
        <v>482</v>
      </c>
      <c r="D390" s="127" t="s">
        <v>353</v>
      </c>
      <c r="E390" s="140" t="s">
        <v>867</v>
      </c>
    </row>
    <row r="391" spans="2:5">
      <c r="B391" s="139">
        <v>483</v>
      </c>
      <c r="D391" s="127" t="s">
        <v>354</v>
      </c>
      <c r="E391" s="140" t="s">
        <v>354</v>
      </c>
    </row>
    <row r="392" spans="2:5">
      <c r="B392" s="139">
        <v>484</v>
      </c>
      <c r="D392" s="127" t="s">
        <v>510</v>
      </c>
    </row>
    <row r="393" spans="2:5">
      <c r="B393" s="139">
        <v>485</v>
      </c>
      <c r="D393" s="127" t="s">
        <v>355</v>
      </c>
      <c r="E393" s="140" t="s">
        <v>590</v>
      </c>
    </row>
    <row r="394" spans="2:5">
      <c r="B394" s="139">
        <v>486</v>
      </c>
      <c r="D394" s="127" t="s">
        <v>511</v>
      </c>
      <c r="E394" s="140" t="s">
        <v>591</v>
      </c>
    </row>
    <row r="395" spans="2:5">
      <c r="B395" s="139">
        <v>487</v>
      </c>
      <c r="D395" s="127" t="s">
        <v>512</v>
      </c>
      <c r="E395" s="140" t="s">
        <v>592</v>
      </c>
    </row>
    <row r="396" spans="2:5">
      <c r="B396" s="139">
        <v>488</v>
      </c>
      <c r="D396" s="127" t="s">
        <v>513</v>
      </c>
      <c r="E396" s="140" t="s">
        <v>591</v>
      </c>
    </row>
    <row r="397" spans="2:5">
      <c r="B397" s="139">
        <v>489</v>
      </c>
      <c r="D397" s="127" t="s">
        <v>356</v>
      </c>
      <c r="E397" s="140" t="s">
        <v>593</v>
      </c>
    </row>
    <row r="398" spans="2:5">
      <c r="B398" s="139">
        <v>490</v>
      </c>
      <c r="D398" s="127" t="s">
        <v>357</v>
      </c>
      <c r="E398" s="140" t="s">
        <v>868</v>
      </c>
    </row>
    <row r="399" spans="2:5">
      <c r="B399" s="139">
        <v>491</v>
      </c>
      <c r="D399" s="127" t="s">
        <v>358</v>
      </c>
      <c r="E399" s="140" t="s">
        <v>869</v>
      </c>
    </row>
    <row r="400" spans="2:5">
      <c r="B400" s="139">
        <v>492</v>
      </c>
      <c r="D400" s="127" t="s">
        <v>359</v>
      </c>
      <c r="E400" s="140" t="s">
        <v>594</v>
      </c>
    </row>
    <row r="401" spans="1:6">
      <c r="B401" s="139">
        <v>493</v>
      </c>
      <c r="D401" s="127" t="s">
        <v>360</v>
      </c>
    </row>
    <row r="402" spans="1:6">
      <c r="B402" s="139">
        <v>494</v>
      </c>
      <c r="D402" s="127" t="s">
        <v>361</v>
      </c>
    </row>
    <row r="403" spans="1:6">
      <c r="B403" s="139">
        <v>495</v>
      </c>
      <c r="D403" s="127" t="s">
        <v>362</v>
      </c>
      <c r="E403" s="140" t="s">
        <v>870</v>
      </c>
    </row>
    <row r="404" spans="1:6">
      <c r="B404" s="139">
        <v>496</v>
      </c>
      <c r="D404" s="127" t="s">
        <v>514</v>
      </c>
      <c r="E404" s="140" t="s">
        <v>871</v>
      </c>
    </row>
    <row r="405" spans="1:6">
      <c r="B405" s="139">
        <v>497</v>
      </c>
      <c r="D405" s="127" t="s">
        <v>363</v>
      </c>
      <c r="E405" s="140" t="s">
        <v>872</v>
      </c>
    </row>
    <row r="406" spans="1:6">
      <c r="B406" s="139">
        <v>498</v>
      </c>
      <c r="D406" s="127" t="s">
        <v>437</v>
      </c>
      <c r="E406" s="140" t="s">
        <v>873</v>
      </c>
    </row>
    <row r="407" spans="1:6">
      <c r="B407" s="139">
        <v>499</v>
      </c>
      <c r="D407" s="127" t="s">
        <v>364</v>
      </c>
      <c r="E407" s="140" t="s">
        <v>872</v>
      </c>
    </row>
    <row r="408" spans="1:6" ht="28.8">
      <c r="A408" s="134"/>
      <c r="B408" s="139">
        <v>500</v>
      </c>
      <c r="C408" s="134"/>
      <c r="D408" s="134" t="s">
        <v>968</v>
      </c>
      <c r="E408" s="134" t="s">
        <v>969</v>
      </c>
      <c r="F408" s="135"/>
    </row>
    <row r="409" spans="1:6">
      <c r="B409" s="139">
        <v>501</v>
      </c>
      <c r="D409" s="127" t="s">
        <v>365</v>
      </c>
      <c r="E409" s="140" t="s">
        <v>365</v>
      </c>
    </row>
    <row r="410" spans="1:6">
      <c r="B410" s="139">
        <v>502</v>
      </c>
      <c r="D410" s="127" t="s">
        <v>366</v>
      </c>
      <c r="E410" s="140" t="s">
        <v>874</v>
      </c>
    </row>
    <row r="411" spans="1:6">
      <c r="B411" s="139">
        <v>503</v>
      </c>
      <c r="D411" s="127" t="s">
        <v>367</v>
      </c>
      <c r="E411" s="140" t="s">
        <v>875</v>
      </c>
    </row>
    <row r="412" spans="1:6">
      <c r="B412" s="139">
        <v>504</v>
      </c>
      <c r="D412" s="127" t="s">
        <v>515</v>
      </c>
      <c r="E412" s="140" t="s">
        <v>876</v>
      </c>
    </row>
    <row r="413" spans="1:6">
      <c r="B413" s="139">
        <v>505</v>
      </c>
      <c r="D413" s="127" t="s">
        <v>368</v>
      </c>
      <c r="E413" s="140" t="s">
        <v>877</v>
      </c>
    </row>
    <row r="414" spans="1:6">
      <c r="B414" s="139">
        <v>506</v>
      </c>
      <c r="D414" s="127" t="s">
        <v>369</v>
      </c>
      <c r="E414" s="140" t="s">
        <v>878</v>
      </c>
    </row>
    <row r="415" spans="1:6">
      <c r="B415" s="139">
        <v>507</v>
      </c>
      <c r="D415" s="127" t="s">
        <v>370</v>
      </c>
      <c r="E415" s="140" t="s">
        <v>879</v>
      </c>
    </row>
    <row r="416" spans="1:6">
      <c r="B416" s="139">
        <v>508</v>
      </c>
      <c r="D416" s="127" t="s">
        <v>516</v>
      </c>
      <c r="E416" s="140" t="s">
        <v>880</v>
      </c>
    </row>
    <row r="417" spans="1:6" ht="26.4">
      <c r="B417" s="139">
        <v>509</v>
      </c>
      <c r="D417" s="127" t="s">
        <v>371</v>
      </c>
      <c r="E417" s="140" t="s">
        <v>881</v>
      </c>
    </row>
    <row r="418" spans="1:6">
      <c r="B418" s="139">
        <v>510</v>
      </c>
      <c r="D418" s="127" t="s">
        <v>372</v>
      </c>
      <c r="E418" s="140" t="s">
        <v>879</v>
      </c>
    </row>
    <row r="419" spans="1:6">
      <c r="B419" s="139">
        <v>511</v>
      </c>
      <c r="D419" s="127" t="s">
        <v>373</v>
      </c>
      <c r="E419" s="140" t="s">
        <v>882</v>
      </c>
    </row>
    <row r="420" spans="1:6">
      <c r="B420" s="139">
        <v>512</v>
      </c>
      <c r="D420" s="127" t="s">
        <v>374</v>
      </c>
      <c r="E420" s="140" t="s">
        <v>883</v>
      </c>
    </row>
    <row r="421" spans="1:6">
      <c r="B421" s="139">
        <v>513</v>
      </c>
      <c r="D421" s="127" t="s">
        <v>375</v>
      </c>
      <c r="E421" s="140" t="s">
        <v>884</v>
      </c>
    </row>
    <row r="422" spans="1:6" s="134" customFormat="1" ht="13.8">
      <c r="A422" s="126"/>
      <c r="B422" s="139">
        <v>514</v>
      </c>
      <c r="C422" s="136"/>
      <c r="D422" s="127" t="s">
        <v>376</v>
      </c>
      <c r="E422" s="140" t="s">
        <v>885</v>
      </c>
      <c r="F422" s="126"/>
    </row>
    <row r="423" spans="1:6" s="134" customFormat="1" ht="13.8">
      <c r="A423" s="126"/>
      <c r="B423" s="139">
        <v>515</v>
      </c>
      <c r="C423" s="136"/>
      <c r="D423" s="127" t="s">
        <v>377</v>
      </c>
      <c r="E423" s="140" t="s">
        <v>886</v>
      </c>
      <c r="F423" s="126"/>
    </row>
    <row r="424" spans="1:6" s="129" customFormat="1">
      <c r="A424" s="126"/>
      <c r="B424" s="139">
        <v>516</v>
      </c>
      <c r="C424" s="136"/>
      <c r="D424" s="127" t="s">
        <v>378</v>
      </c>
      <c r="E424" s="140" t="s">
        <v>878</v>
      </c>
      <c r="F424" s="126"/>
    </row>
    <row r="425" spans="1:6" s="129" customFormat="1" ht="26.4">
      <c r="A425" s="126"/>
      <c r="B425" s="139">
        <v>517</v>
      </c>
      <c r="C425" s="136"/>
      <c r="D425" s="127" t="s">
        <v>379</v>
      </c>
      <c r="E425" s="140" t="s">
        <v>887</v>
      </c>
      <c r="F425" s="126"/>
    </row>
    <row r="426" spans="1:6" s="129" customFormat="1" ht="39.6">
      <c r="A426" s="126"/>
      <c r="B426" s="139">
        <v>518</v>
      </c>
      <c r="C426" s="136"/>
      <c r="D426" s="127" t="s">
        <v>380</v>
      </c>
      <c r="E426" s="140" t="s">
        <v>888</v>
      </c>
      <c r="F426" s="126"/>
    </row>
    <row r="427" spans="1:6" s="129" customFormat="1">
      <c r="A427" s="126"/>
      <c r="B427" s="139">
        <v>519</v>
      </c>
      <c r="C427" s="136"/>
      <c r="D427" s="127" t="s">
        <v>381</v>
      </c>
      <c r="E427" s="140" t="s">
        <v>889</v>
      </c>
      <c r="F427" s="126"/>
    </row>
    <row r="428" spans="1:6" s="129" customFormat="1" ht="39.6">
      <c r="A428" s="126"/>
      <c r="B428" s="139">
        <v>520</v>
      </c>
      <c r="C428" s="136"/>
      <c r="D428" s="127" t="s">
        <v>382</v>
      </c>
      <c r="E428" s="140" t="s">
        <v>890</v>
      </c>
      <c r="F428" s="126"/>
    </row>
    <row r="429" spans="1:6" s="129" customFormat="1">
      <c r="A429" s="126"/>
      <c r="B429" s="139">
        <v>521</v>
      </c>
      <c r="C429" s="136"/>
      <c r="D429" s="127" t="s">
        <v>383</v>
      </c>
      <c r="E429" s="140" t="s">
        <v>891</v>
      </c>
      <c r="F429" s="126"/>
    </row>
    <row r="430" spans="1:6" s="129" customFormat="1">
      <c r="A430" s="126"/>
      <c r="B430" s="139">
        <v>522</v>
      </c>
      <c r="C430" s="136"/>
      <c r="D430" s="127" t="s">
        <v>384</v>
      </c>
      <c r="E430" s="140" t="s">
        <v>892</v>
      </c>
      <c r="F430" s="126"/>
    </row>
    <row r="431" spans="1:6" s="129" customFormat="1">
      <c r="A431" s="126"/>
      <c r="B431" s="139">
        <v>523</v>
      </c>
      <c r="C431" s="136"/>
      <c r="D431" s="127" t="s">
        <v>385</v>
      </c>
      <c r="E431" s="140" t="s">
        <v>893</v>
      </c>
      <c r="F431" s="126"/>
    </row>
    <row r="432" spans="1:6" s="129" customFormat="1">
      <c r="A432" s="126"/>
      <c r="B432" s="139">
        <v>524</v>
      </c>
      <c r="C432" s="136"/>
      <c r="D432" s="127" t="s">
        <v>386</v>
      </c>
      <c r="E432" s="140" t="s">
        <v>894</v>
      </c>
      <c r="F432" s="126"/>
    </row>
    <row r="433" spans="1:6" s="129" customFormat="1">
      <c r="A433" s="126"/>
      <c r="B433" s="139">
        <v>525</v>
      </c>
      <c r="C433" s="136"/>
      <c r="D433" s="127" t="s">
        <v>387</v>
      </c>
      <c r="E433" s="140" t="s">
        <v>895</v>
      </c>
      <c r="F433" s="126"/>
    </row>
    <row r="434" spans="1:6" s="129" customFormat="1">
      <c r="A434" s="126"/>
      <c r="B434" s="139">
        <v>526</v>
      </c>
      <c r="C434" s="136"/>
      <c r="D434" s="127" t="s">
        <v>388</v>
      </c>
      <c r="E434" s="140" t="s">
        <v>896</v>
      </c>
      <c r="F434" s="126"/>
    </row>
    <row r="435" spans="1:6">
      <c r="B435" s="139">
        <v>527</v>
      </c>
      <c r="D435" s="127" t="s">
        <v>971</v>
      </c>
      <c r="E435" s="140" t="s">
        <v>974</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77"/>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t="s">
        <v>972</v>
      </c>
      <c r="B2" s="94" t="s">
        <v>1093</v>
      </c>
      <c r="C2" s="95" t="s">
        <v>1023</v>
      </c>
      <c r="D2" s="95">
        <v>43488</v>
      </c>
      <c r="E2" s="96">
        <v>43495</v>
      </c>
      <c r="F2" s="95">
        <v>43485</v>
      </c>
      <c r="G2" s="95">
        <v>43491</v>
      </c>
      <c r="H2" s="92">
        <v>18</v>
      </c>
    </row>
    <row r="3" spans="1:8">
      <c r="A3" s="93" t="s">
        <v>972</v>
      </c>
      <c r="B3" s="94" t="s">
        <v>1093</v>
      </c>
      <c r="C3" s="95" t="s">
        <v>1023</v>
      </c>
      <c r="D3" s="95">
        <v>43488</v>
      </c>
      <c r="E3" s="96">
        <v>43495</v>
      </c>
      <c r="F3" s="95">
        <v>43492</v>
      </c>
      <c r="G3" s="95">
        <v>43498</v>
      </c>
      <c r="H3" s="92">
        <v>18</v>
      </c>
    </row>
    <row r="4" spans="1:8">
      <c r="A4" s="93" t="s">
        <v>997</v>
      </c>
      <c r="B4" s="94" t="s">
        <v>1092</v>
      </c>
      <c r="C4" s="95" t="s">
        <v>1023</v>
      </c>
      <c r="D4" s="95">
        <v>43495</v>
      </c>
      <c r="E4" s="96">
        <v>43502</v>
      </c>
      <c r="F4" s="95">
        <v>43492</v>
      </c>
      <c r="G4" s="95">
        <v>43498</v>
      </c>
      <c r="H4" s="92">
        <v>3</v>
      </c>
    </row>
    <row r="5" spans="1:8">
      <c r="A5" s="93" t="s">
        <v>997</v>
      </c>
      <c r="B5" s="94" t="s">
        <v>1092</v>
      </c>
      <c r="C5" s="95" t="s">
        <v>1023</v>
      </c>
      <c r="D5" s="95">
        <v>43495</v>
      </c>
      <c r="E5" s="96">
        <v>43502</v>
      </c>
      <c r="F5" s="95">
        <v>43499</v>
      </c>
      <c r="G5" s="95">
        <v>43505</v>
      </c>
      <c r="H5" s="92">
        <v>0</v>
      </c>
    </row>
    <row r="6" spans="1:8">
      <c r="A6" s="93" t="s">
        <v>1101</v>
      </c>
      <c r="B6" s="94" t="s">
        <v>1081</v>
      </c>
      <c r="C6" s="95" t="s">
        <v>1023</v>
      </c>
      <c r="D6" s="95">
        <v>43495</v>
      </c>
      <c r="E6" s="96">
        <v>43502</v>
      </c>
      <c r="F6" s="95">
        <v>43492</v>
      </c>
      <c r="G6" s="95">
        <v>43498</v>
      </c>
      <c r="H6" s="92">
        <v>6</v>
      </c>
    </row>
    <row r="7" spans="1:8">
      <c r="A7" s="93" t="s">
        <v>1101</v>
      </c>
      <c r="B7" s="94" t="s">
        <v>1081</v>
      </c>
      <c r="C7" s="95" t="s">
        <v>1023</v>
      </c>
      <c r="D7" s="95">
        <v>43495</v>
      </c>
      <c r="E7" s="96">
        <v>43502</v>
      </c>
      <c r="F7" s="95">
        <v>43499</v>
      </c>
      <c r="G7" s="95">
        <v>43505</v>
      </c>
      <c r="H7" s="92">
        <v>0</v>
      </c>
    </row>
    <row r="8" spans="1:8">
      <c r="A8" s="93" t="s">
        <v>1102</v>
      </c>
      <c r="B8" s="94" t="s">
        <v>1080</v>
      </c>
      <c r="C8" s="95" t="s">
        <v>1023</v>
      </c>
      <c r="D8" s="95">
        <v>43495</v>
      </c>
      <c r="E8" s="96">
        <v>43502</v>
      </c>
      <c r="F8" s="95">
        <v>43492</v>
      </c>
      <c r="G8" s="95">
        <v>43498</v>
      </c>
      <c r="H8" s="92">
        <v>6</v>
      </c>
    </row>
    <row r="9" spans="1:8">
      <c r="A9" s="93" t="s">
        <v>1102</v>
      </c>
      <c r="B9" s="94" t="s">
        <v>1080</v>
      </c>
      <c r="C9" s="95" t="s">
        <v>1023</v>
      </c>
      <c r="D9" s="95">
        <v>43495</v>
      </c>
      <c r="E9" s="96">
        <v>43502</v>
      </c>
      <c r="F9" s="95">
        <v>43499</v>
      </c>
      <c r="G9" s="95">
        <v>43505</v>
      </c>
      <c r="H9" s="92">
        <v>0</v>
      </c>
    </row>
    <row r="10" spans="1:8">
      <c r="A10" s="93" t="s">
        <v>1103</v>
      </c>
      <c r="B10" s="94" t="s">
        <v>1094</v>
      </c>
      <c r="C10" s="95" t="s">
        <v>1023</v>
      </c>
      <c r="D10" s="95">
        <v>43495</v>
      </c>
      <c r="E10" s="96">
        <v>43502</v>
      </c>
      <c r="F10" s="95">
        <v>43492</v>
      </c>
      <c r="G10" s="95">
        <v>43498</v>
      </c>
      <c r="H10" s="92">
        <v>3</v>
      </c>
    </row>
    <row r="11" spans="1:8">
      <c r="A11" s="93" t="s">
        <v>1103</v>
      </c>
      <c r="B11" s="94" t="s">
        <v>1094</v>
      </c>
      <c r="C11" s="95" t="s">
        <v>1023</v>
      </c>
      <c r="D11" s="95">
        <v>43495</v>
      </c>
      <c r="E11" s="96">
        <v>43502</v>
      </c>
      <c r="F11" s="95">
        <v>43499</v>
      </c>
      <c r="G11" s="95">
        <v>43505</v>
      </c>
      <c r="H11" s="92">
        <v>0</v>
      </c>
    </row>
    <row r="12" spans="1:8">
      <c r="A12" s="93" t="s">
        <v>429</v>
      </c>
      <c r="B12" s="94" t="s">
        <v>1082</v>
      </c>
      <c r="C12" s="95" t="s">
        <v>1023</v>
      </c>
      <c r="D12" s="95">
        <v>43509</v>
      </c>
      <c r="E12" s="96">
        <v>43524</v>
      </c>
      <c r="F12" s="95">
        <v>43506</v>
      </c>
      <c r="G12" s="95">
        <v>43512</v>
      </c>
      <c r="H12" s="92">
        <v>3</v>
      </c>
    </row>
    <row r="13" spans="1:8">
      <c r="A13" s="93" t="s">
        <v>429</v>
      </c>
      <c r="B13" s="94" t="s">
        <v>1082</v>
      </c>
      <c r="C13" s="95" t="s">
        <v>1023</v>
      </c>
      <c r="D13" s="95">
        <v>43509</v>
      </c>
      <c r="E13" s="96">
        <v>43524</v>
      </c>
      <c r="F13" s="95">
        <v>43513</v>
      </c>
      <c r="G13" s="95">
        <v>43519</v>
      </c>
      <c r="H13" s="92">
        <v>5</v>
      </c>
    </row>
    <row r="14" spans="1:8">
      <c r="A14" s="93" t="s">
        <v>429</v>
      </c>
      <c r="B14" s="94" t="s">
        <v>1082</v>
      </c>
      <c r="C14" s="95" t="s">
        <v>1023</v>
      </c>
      <c r="D14" s="95">
        <v>43509</v>
      </c>
      <c r="E14" s="96">
        <v>43524</v>
      </c>
      <c r="F14" s="95">
        <v>43520</v>
      </c>
      <c r="G14" s="95">
        <v>43526</v>
      </c>
      <c r="H14" s="92">
        <v>4</v>
      </c>
    </row>
    <row r="15" spans="1:8">
      <c r="A15" s="93" t="s">
        <v>430</v>
      </c>
      <c r="B15" s="94" t="s">
        <v>1084</v>
      </c>
      <c r="C15" s="95" t="s">
        <v>1023</v>
      </c>
      <c r="D15" s="95">
        <v>43509</v>
      </c>
      <c r="E15" s="96">
        <v>43524</v>
      </c>
      <c r="F15" s="95">
        <v>43506</v>
      </c>
      <c r="G15" s="95">
        <v>43512</v>
      </c>
      <c r="H15" s="92">
        <v>9</v>
      </c>
    </row>
    <row r="16" spans="1:8">
      <c r="A16" s="93" t="s">
        <v>430</v>
      </c>
      <c r="B16" s="94" t="s">
        <v>1084</v>
      </c>
      <c r="C16" s="95" t="s">
        <v>1023</v>
      </c>
      <c r="D16" s="95">
        <v>43509</v>
      </c>
      <c r="E16" s="96">
        <v>43524</v>
      </c>
      <c r="F16" s="95">
        <v>43513</v>
      </c>
      <c r="G16" s="95">
        <v>43519</v>
      </c>
      <c r="H16" s="92">
        <v>15</v>
      </c>
    </row>
    <row r="17" spans="1:8">
      <c r="A17" s="93" t="s">
        <v>430</v>
      </c>
      <c r="B17" s="94" t="s">
        <v>1084</v>
      </c>
      <c r="C17" s="95" t="s">
        <v>1023</v>
      </c>
      <c r="D17" s="95">
        <v>43509</v>
      </c>
      <c r="E17" s="96">
        <v>43524</v>
      </c>
      <c r="F17" s="95">
        <v>43520</v>
      </c>
      <c r="G17" s="95">
        <v>43526</v>
      </c>
      <c r="H17" s="92">
        <v>12</v>
      </c>
    </row>
    <row r="18" spans="1:8">
      <c r="A18" s="93" t="s">
        <v>431</v>
      </c>
      <c r="B18" s="94" t="s">
        <v>1083</v>
      </c>
      <c r="C18" s="95" t="s">
        <v>1023</v>
      </c>
      <c r="D18" s="95">
        <v>43518</v>
      </c>
      <c r="E18" s="96">
        <v>43530</v>
      </c>
      <c r="F18" s="95">
        <v>43513</v>
      </c>
      <c r="G18" s="95">
        <v>43519</v>
      </c>
      <c r="H18" s="92">
        <v>2</v>
      </c>
    </row>
    <row r="19" spans="1:8">
      <c r="A19" s="93" t="s">
        <v>431</v>
      </c>
      <c r="B19" s="94" t="s">
        <v>1083</v>
      </c>
      <c r="C19" s="95" t="s">
        <v>1023</v>
      </c>
      <c r="D19" s="95">
        <v>43518</v>
      </c>
      <c r="E19" s="96">
        <v>43530</v>
      </c>
      <c r="F19" s="95">
        <v>43520</v>
      </c>
      <c r="G19" s="95">
        <v>43526</v>
      </c>
      <c r="H19" s="92">
        <v>8</v>
      </c>
    </row>
    <row r="20" spans="1:8">
      <c r="A20" s="93" t="s">
        <v>431</v>
      </c>
      <c r="B20" s="94" t="s">
        <v>1083</v>
      </c>
      <c r="C20" s="95" t="s">
        <v>1023</v>
      </c>
      <c r="D20" s="95">
        <v>43518</v>
      </c>
      <c r="E20" s="96">
        <v>43530</v>
      </c>
      <c r="F20" s="95">
        <v>43527</v>
      </c>
      <c r="G20" s="95">
        <v>43533</v>
      </c>
      <c r="H20" s="92">
        <v>6</v>
      </c>
    </row>
    <row r="21" spans="1:8">
      <c r="A21" s="93" t="s">
        <v>432</v>
      </c>
      <c r="B21" s="94" t="s">
        <v>1085</v>
      </c>
      <c r="C21" s="95" t="s">
        <v>1023</v>
      </c>
      <c r="D21" s="95">
        <v>43518</v>
      </c>
      <c r="E21" s="96">
        <v>43530</v>
      </c>
      <c r="F21" s="95">
        <v>43513</v>
      </c>
      <c r="G21" s="95">
        <v>43519</v>
      </c>
      <c r="H21" s="92">
        <v>3</v>
      </c>
    </row>
    <row r="22" spans="1:8">
      <c r="A22" s="93" t="s">
        <v>432</v>
      </c>
      <c r="B22" s="94" t="s">
        <v>1085</v>
      </c>
      <c r="C22" s="95" t="s">
        <v>1023</v>
      </c>
      <c r="D22" s="95">
        <v>43518</v>
      </c>
      <c r="E22" s="96">
        <v>43530</v>
      </c>
      <c r="F22" s="95">
        <v>43520</v>
      </c>
      <c r="G22" s="95">
        <v>43526</v>
      </c>
      <c r="H22" s="92">
        <v>12</v>
      </c>
    </row>
    <row r="23" spans="1:8">
      <c r="A23" s="93" t="s">
        <v>432</v>
      </c>
      <c r="B23" s="94" t="s">
        <v>1085</v>
      </c>
      <c r="C23" s="95" t="s">
        <v>1023</v>
      </c>
      <c r="D23" s="95">
        <v>43518</v>
      </c>
      <c r="E23" s="96">
        <v>43530</v>
      </c>
      <c r="F23" s="95">
        <v>43527</v>
      </c>
      <c r="G23" s="95">
        <v>43533</v>
      </c>
      <c r="H23" s="92">
        <v>9</v>
      </c>
    </row>
    <row r="24" spans="1:8">
      <c r="A24" s="93" t="s">
        <v>433</v>
      </c>
      <c r="B24" s="94" t="s">
        <v>1099</v>
      </c>
      <c r="C24" s="95" t="s">
        <v>1023</v>
      </c>
      <c r="D24" s="95">
        <v>43530</v>
      </c>
      <c r="E24" s="96">
        <v>43553</v>
      </c>
      <c r="F24" s="95">
        <v>43527</v>
      </c>
      <c r="G24" s="95">
        <v>43533</v>
      </c>
      <c r="H24" s="92">
        <v>3</v>
      </c>
    </row>
    <row r="25" spans="1:8">
      <c r="A25" s="93" t="s">
        <v>433</v>
      </c>
      <c r="B25" s="94" t="s">
        <v>1099</v>
      </c>
      <c r="C25" s="95" t="s">
        <v>1023</v>
      </c>
      <c r="D25" s="95">
        <v>43530</v>
      </c>
      <c r="E25" s="96">
        <v>43553</v>
      </c>
      <c r="F25" s="95">
        <v>43534</v>
      </c>
      <c r="G25" s="95">
        <v>43540</v>
      </c>
      <c r="H25" s="92">
        <v>5</v>
      </c>
    </row>
    <row r="26" spans="1:8">
      <c r="A26" s="93" t="s">
        <v>433</v>
      </c>
      <c r="B26" s="94" t="s">
        <v>1099</v>
      </c>
      <c r="C26" s="95" t="s">
        <v>1023</v>
      </c>
      <c r="D26" s="95">
        <v>43530</v>
      </c>
      <c r="E26" s="96">
        <v>43553</v>
      </c>
      <c r="F26" s="95">
        <v>43541</v>
      </c>
      <c r="G26" s="95">
        <v>43547</v>
      </c>
      <c r="H26" s="92">
        <v>5</v>
      </c>
    </row>
    <row r="27" spans="1:8">
      <c r="A27" s="93" t="s">
        <v>433</v>
      </c>
      <c r="B27" s="94" t="s">
        <v>1099</v>
      </c>
      <c r="C27" s="95" t="s">
        <v>1023</v>
      </c>
      <c r="D27" s="95">
        <v>43530</v>
      </c>
      <c r="E27" s="96">
        <v>43553</v>
      </c>
      <c r="F27" s="95">
        <v>43548</v>
      </c>
      <c r="G27" s="95">
        <v>43554</v>
      </c>
      <c r="H27" s="92">
        <v>5</v>
      </c>
    </row>
    <row r="28" spans="1:8">
      <c r="A28" s="93" t="s">
        <v>434</v>
      </c>
      <c r="B28" s="94" t="s">
        <v>1095</v>
      </c>
      <c r="C28" s="95" t="s">
        <v>1023</v>
      </c>
      <c r="D28" s="95">
        <v>43530</v>
      </c>
      <c r="E28" s="96">
        <v>43553</v>
      </c>
      <c r="F28" s="95">
        <v>43527</v>
      </c>
      <c r="G28" s="95">
        <v>43533</v>
      </c>
      <c r="H28" s="92">
        <v>3</v>
      </c>
    </row>
    <row r="29" spans="1:8">
      <c r="A29" s="93" t="s">
        <v>434</v>
      </c>
      <c r="B29" s="94" t="s">
        <v>1095</v>
      </c>
      <c r="C29" s="95" t="s">
        <v>1023</v>
      </c>
      <c r="D29" s="95">
        <v>43530</v>
      </c>
      <c r="E29" s="96">
        <v>43553</v>
      </c>
      <c r="F29" s="95">
        <v>43534</v>
      </c>
      <c r="G29" s="95">
        <v>43540</v>
      </c>
      <c r="H29" s="92">
        <v>5</v>
      </c>
    </row>
    <row r="30" spans="1:8">
      <c r="A30" s="93" t="s">
        <v>434</v>
      </c>
      <c r="B30" s="94" t="s">
        <v>1095</v>
      </c>
      <c r="C30" s="95" t="s">
        <v>1023</v>
      </c>
      <c r="D30" s="95">
        <v>43530</v>
      </c>
      <c r="E30" s="96">
        <v>43553</v>
      </c>
      <c r="F30" s="95">
        <v>43541</v>
      </c>
      <c r="G30" s="95">
        <v>43547</v>
      </c>
      <c r="H30" s="92">
        <v>5</v>
      </c>
    </row>
    <row r="31" spans="1:8">
      <c r="A31" s="93" t="s">
        <v>434</v>
      </c>
      <c r="B31" s="94" t="s">
        <v>1095</v>
      </c>
      <c r="C31" s="95" t="s">
        <v>1023</v>
      </c>
      <c r="D31" s="95">
        <v>43530</v>
      </c>
      <c r="E31" s="96">
        <v>43553</v>
      </c>
      <c r="F31" s="95">
        <v>43548</v>
      </c>
      <c r="G31" s="95">
        <v>43554</v>
      </c>
      <c r="H31" s="92">
        <v>5</v>
      </c>
    </row>
    <row r="32" spans="1:8">
      <c r="A32" s="93" t="s">
        <v>435</v>
      </c>
      <c r="B32" s="94" t="s">
        <v>1096</v>
      </c>
      <c r="C32" s="95" t="s">
        <v>1023</v>
      </c>
      <c r="D32" s="95">
        <v>43553</v>
      </c>
      <c r="E32" s="96">
        <v>43572</v>
      </c>
      <c r="F32" s="95">
        <v>43548</v>
      </c>
      <c r="G32" s="95">
        <v>43554</v>
      </c>
      <c r="H32" s="92">
        <v>2</v>
      </c>
    </row>
    <row r="33" spans="1:8">
      <c r="A33" s="93" t="s">
        <v>435</v>
      </c>
      <c r="B33" s="94" t="s">
        <v>1096</v>
      </c>
      <c r="C33" s="95" t="s">
        <v>1023</v>
      </c>
      <c r="D33" s="95">
        <v>43553</v>
      </c>
      <c r="E33" s="96">
        <v>43572</v>
      </c>
      <c r="F33" s="95">
        <v>43555</v>
      </c>
      <c r="G33" s="95">
        <v>43561</v>
      </c>
      <c r="H33" s="92">
        <v>10</v>
      </c>
    </row>
    <row r="34" spans="1:8">
      <c r="A34" s="93" t="s">
        <v>435</v>
      </c>
      <c r="B34" s="94" t="s">
        <v>1096</v>
      </c>
      <c r="C34" s="95" t="s">
        <v>1023</v>
      </c>
      <c r="D34" s="95">
        <v>43553</v>
      </c>
      <c r="E34" s="96">
        <v>43572</v>
      </c>
      <c r="F34" s="95">
        <v>43562</v>
      </c>
      <c r="G34" s="95">
        <v>43568</v>
      </c>
      <c r="H34" s="92">
        <v>10</v>
      </c>
    </row>
    <row r="35" spans="1:8">
      <c r="A35" s="93" t="s">
        <v>435</v>
      </c>
      <c r="B35" s="94" t="s">
        <v>1096</v>
      </c>
      <c r="C35" s="95" t="s">
        <v>1023</v>
      </c>
      <c r="D35" s="95">
        <v>43553</v>
      </c>
      <c r="E35" s="96">
        <v>43572</v>
      </c>
      <c r="F35" s="95">
        <v>43569</v>
      </c>
      <c r="G35" s="95">
        <v>43575</v>
      </c>
      <c r="H35" s="92">
        <v>6</v>
      </c>
    </row>
    <row r="36" spans="1:8">
      <c r="A36" s="93" t="s">
        <v>436</v>
      </c>
      <c r="B36" s="94" t="s">
        <v>1098</v>
      </c>
      <c r="C36" s="95" t="s">
        <v>1023</v>
      </c>
      <c r="D36" s="95">
        <v>43553</v>
      </c>
      <c r="E36" s="96">
        <v>43599</v>
      </c>
      <c r="F36" s="95">
        <v>43548</v>
      </c>
      <c r="G36" s="95">
        <v>43554</v>
      </c>
      <c r="H36" s="92">
        <v>3</v>
      </c>
    </row>
    <row r="37" spans="1:8">
      <c r="A37" s="93" t="s">
        <v>436</v>
      </c>
      <c r="B37" s="94" t="s">
        <v>1098</v>
      </c>
      <c r="C37" s="95" t="s">
        <v>1023</v>
      </c>
      <c r="D37" s="95">
        <v>43553</v>
      </c>
      <c r="E37" s="96">
        <v>43599</v>
      </c>
      <c r="F37" s="95">
        <v>43555</v>
      </c>
      <c r="G37" s="95">
        <v>43561</v>
      </c>
      <c r="H37" s="92">
        <v>15</v>
      </c>
    </row>
    <row r="38" spans="1:8">
      <c r="A38" s="93" t="s">
        <v>436</v>
      </c>
      <c r="B38" s="94" t="s">
        <v>1098</v>
      </c>
      <c r="C38" s="95" t="s">
        <v>1023</v>
      </c>
      <c r="D38" s="95">
        <v>43553</v>
      </c>
      <c r="E38" s="96">
        <v>43599</v>
      </c>
      <c r="F38" s="95">
        <v>43562</v>
      </c>
      <c r="G38" s="95">
        <v>43568</v>
      </c>
      <c r="H38" s="92">
        <v>15</v>
      </c>
    </row>
    <row r="39" spans="1:8">
      <c r="A39" s="93" t="s">
        <v>436</v>
      </c>
      <c r="B39" s="94" t="s">
        <v>1098</v>
      </c>
      <c r="C39" s="95" t="s">
        <v>1023</v>
      </c>
      <c r="D39" s="95">
        <v>43553</v>
      </c>
      <c r="E39" s="96">
        <v>43599</v>
      </c>
      <c r="F39" s="95">
        <v>43569</v>
      </c>
      <c r="G39" s="95">
        <v>43575</v>
      </c>
      <c r="H39" s="92">
        <v>15</v>
      </c>
    </row>
    <row r="40" spans="1:8">
      <c r="A40" s="93" t="s">
        <v>436</v>
      </c>
      <c r="B40" s="94" t="s">
        <v>1098</v>
      </c>
      <c r="C40" s="95" t="s">
        <v>1023</v>
      </c>
      <c r="D40" s="95">
        <v>43553</v>
      </c>
      <c r="E40" s="96">
        <v>43599</v>
      </c>
      <c r="F40" s="95">
        <v>43576</v>
      </c>
      <c r="G40" s="95">
        <v>43582</v>
      </c>
      <c r="H40" s="92">
        <v>15</v>
      </c>
    </row>
    <row r="41" spans="1:8">
      <c r="A41" s="93" t="s">
        <v>436</v>
      </c>
      <c r="B41" s="94" t="s">
        <v>1098</v>
      </c>
      <c r="C41" s="95" t="s">
        <v>1023</v>
      </c>
      <c r="D41" s="95">
        <v>43553</v>
      </c>
      <c r="E41" s="96">
        <v>43599</v>
      </c>
      <c r="F41" s="95">
        <v>43583</v>
      </c>
      <c r="G41" s="95">
        <v>43589</v>
      </c>
      <c r="H41" s="92">
        <v>15</v>
      </c>
    </row>
    <row r="42" spans="1:8">
      <c r="A42" s="93" t="s">
        <v>436</v>
      </c>
      <c r="B42" s="94" t="s">
        <v>1098</v>
      </c>
      <c r="C42" s="95" t="s">
        <v>1023</v>
      </c>
      <c r="D42" s="95">
        <v>43553</v>
      </c>
      <c r="E42" s="96">
        <v>43599</v>
      </c>
      <c r="F42" s="95">
        <v>43590</v>
      </c>
      <c r="G42" s="95">
        <v>43596</v>
      </c>
      <c r="H42" s="92">
        <v>12</v>
      </c>
    </row>
    <row r="43" spans="1:8">
      <c r="A43" s="93" t="s">
        <v>436</v>
      </c>
      <c r="B43" s="94" t="s">
        <v>1098</v>
      </c>
      <c r="C43" s="95" t="s">
        <v>1023</v>
      </c>
      <c r="D43" s="95">
        <v>43553</v>
      </c>
      <c r="E43" s="96">
        <v>43599</v>
      </c>
      <c r="F43" s="95">
        <v>43597</v>
      </c>
      <c r="G43" s="95">
        <v>43603</v>
      </c>
      <c r="H43" s="92">
        <v>6</v>
      </c>
    </row>
    <row r="44" spans="1:8">
      <c r="A44" s="93" t="s">
        <v>1104</v>
      </c>
      <c r="B44" s="94" t="s">
        <v>1097</v>
      </c>
      <c r="C44" s="95" t="s">
        <v>1023</v>
      </c>
      <c r="D44" s="95">
        <v>43553</v>
      </c>
      <c r="E44" s="96">
        <v>43599</v>
      </c>
      <c r="F44" s="95">
        <v>43548</v>
      </c>
      <c r="G44" s="95">
        <v>43554</v>
      </c>
      <c r="H44" s="92">
        <v>1</v>
      </c>
    </row>
    <row r="45" spans="1:8">
      <c r="A45" s="93" t="s">
        <v>1104</v>
      </c>
      <c r="B45" s="94" t="s">
        <v>1097</v>
      </c>
      <c r="C45" s="95" t="s">
        <v>1023</v>
      </c>
      <c r="D45" s="95">
        <v>43553</v>
      </c>
      <c r="E45" s="96">
        <v>43599</v>
      </c>
      <c r="F45" s="95">
        <v>43555</v>
      </c>
      <c r="G45" s="95">
        <v>43561</v>
      </c>
      <c r="H45" s="92">
        <v>5</v>
      </c>
    </row>
    <row r="46" spans="1:8">
      <c r="A46" s="93" t="s">
        <v>1104</v>
      </c>
      <c r="B46" s="94" t="s">
        <v>1097</v>
      </c>
      <c r="C46" s="95" t="s">
        <v>1023</v>
      </c>
      <c r="D46" s="95">
        <v>43553</v>
      </c>
      <c r="E46" s="96">
        <v>43599</v>
      </c>
      <c r="F46" s="95">
        <v>43562</v>
      </c>
      <c r="G46" s="95">
        <v>43568</v>
      </c>
      <c r="H46" s="92">
        <v>5</v>
      </c>
    </row>
    <row r="47" spans="1:8">
      <c r="A47" s="93" t="s">
        <v>1104</v>
      </c>
      <c r="B47" s="94" t="s">
        <v>1097</v>
      </c>
      <c r="C47" s="95" t="s">
        <v>1023</v>
      </c>
      <c r="D47" s="95">
        <v>43553</v>
      </c>
      <c r="E47" s="96">
        <v>43599</v>
      </c>
      <c r="F47" s="95">
        <v>43569</v>
      </c>
      <c r="G47" s="95">
        <v>43575</v>
      </c>
      <c r="H47" s="92">
        <v>5</v>
      </c>
    </row>
    <row r="48" spans="1:8">
      <c r="A48" s="93" t="s">
        <v>1104</v>
      </c>
      <c r="B48" s="94" t="s">
        <v>1097</v>
      </c>
      <c r="C48" s="95" t="s">
        <v>1023</v>
      </c>
      <c r="D48" s="95">
        <v>43553</v>
      </c>
      <c r="E48" s="96">
        <v>43599</v>
      </c>
      <c r="F48" s="95">
        <v>43576</v>
      </c>
      <c r="G48" s="95">
        <v>43582</v>
      </c>
      <c r="H48" s="92">
        <v>5</v>
      </c>
    </row>
    <row r="49" spans="1:8">
      <c r="A49" s="93" t="s">
        <v>1104</v>
      </c>
      <c r="B49" s="94" t="s">
        <v>1097</v>
      </c>
      <c r="C49" s="95" t="s">
        <v>1023</v>
      </c>
      <c r="D49" s="95">
        <v>43553</v>
      </c>
      <c r="E49" s="96">
        <v>43599</v>
      </c>
      <c r="F49" s="95">
        <v>43583</v>
      </c>
      <c r="G49" s="95">
        <v>43589</v>
      </c>
      <c r="H49" s="92">
        <v>5</v>
      </c>
    </row>
    <row r="50" spans="1:8">
      <c r="A50" s="93" t="s">
        <v>1104</v>
      </c>
      <c r="B50" s="94" t="s">
        <v>1097</v>
      </c>
      <c r="C50" s="95" t="s">
        <v>1023</v>
      </c>
      <c r="D50" s="95">
        <v>43553</v>
      </c>
      <c r="E50" s="96">
        <v>43599</v>
      </c>
      <c r="F50" s="95">
        <v>43590</v>
      </c>
      <c r="G50" s="95">
        <v>43596</v>
      </c>
      <c r="H50" s="92">
        <v>4</v>
      </c>
    </row>
    <row r="51" spans="1:8">
      <c r="A51" s="93" t="s">
        <v>1104</v>
      </c>
      <c r="B51" s="94" t="s">
        <v>1097</v>
      </c>
      <c r="C51" s="95" t="s">
        <v>1023</v>
      </c>
      <c r="D51" s="95">
        <v>43553</v>
      </c>
      <c r="E51" s="96">
        <v>43599</v>
      </c>
      <c r="F51" s="95">
        <v>43597</v>
      </c>
      <c r="G51" s="95">
        <v>43603</v>
      </c>
      <c r="H51" s="92">
        <v>2</v>
      </c>
    </row>
    <row r="52" spans="1:8">
      <c r="A52" s="93" t="s">
        <v>1117</v>
      </c>
      <c r="B52" s="94" t="s">
        <v>1116</v>
      </c>
      <c r="C52" s="95" t="s">
        <v>1023</v>
      </c>
      <c r="D52" s="95">
        <v>43604</v>
      </c>
      <c r="E52" s="96">
        <v>43634</v>
      </c>
      <c r="F52" s="95">
        <v>43604</v>
      </c>
      <c r="G52" s="95">
        <v>43610</v>
      </c>
      <c r="H52" s="92">
        <v>30</v>
      </c>
    </row>
    <row r="53" spans="1:8">
      <c r="A53" s="93" t="s">
        <v>1117</v>
      </c>
      <c r="B53" s="94" t="s">
        <v>1116</v>
      </c>
      <c r="C53" s="95" t="s">
        <v>1023</v>
      </c>
      <c r="D53" s="95">
        <v>43604</v>
      </c>
      <c r="E53" s="96">
        <v>43634</v>
      </c>
      <c r="F53" s="95">
        <v>43611</v>
      </c>
      <c r="G53" s="95">
        <v>43617</v>
      </c>
      <c r="H53" s="92">
        <v>30</v>
      </c>
    </row>
    <row r="54" spans="1:8">
      <c r="A54" s="93" t="s">
        <v>1117</v>
      </c>
      <c r="B54" s="94" t="s">
        <v>1116</v>
      </c>
      <c r="C54" s="95" t="s">
        <v>1023</v>
      </c>
      <c r="D54" s="95">
        <v>43604</v>
      </c>
      <c r="E54" s="96">
        <v>43634</v>
      </c>
      <c r="F54" s="95">
        <v>43618</v>
      </c>
      <c r="G54" s="95">
        <v>43624</v>
      </c>
      <c r="H54" s="92">
        <v>24</v>
      </c>
    </row>
    <row r="55" spans="1:8">
      <c r="A55" s="93" t="s">
        <v>1117</v>
      </c>
      <c r="B55" s="94" t="s">
        <v>1116</v>
      </c>
      <c r="C55" s="95" t="s">
        <v>1023</v>
      </c>
      <c r="D55" s="95">
        <v>43604</v>
      </c>
      <c r="E55" s="96">
        <v>43634</v>
      </c>
      <c r="F55" s="95">
        <v>43625</v>
      </c>
      <c r="G55" s="95">
        <v>43631</v>
      </c>
      <c r="H55" s="92">
        <v>30</v>
      </c>
    </row>
    <row r="56" spans="1:8">
      <c r="A56" s="93" t="s">
        <v>1117</v>
      </c>
      <c r="B56" s="94" t="s">
        <v>1116</v>
      </c>
      <c r="C56" s="95" t="s">
        <v>1023</v>
      </c>
      <c r="D56" s="95">
        <v>43604</v>
      </c>
      <c r="E56" s="96">
        <v>43634</v>
      </c>
      <c r="F56" s="95">
        <v>43632</v>
      </c>
      <c r="G56" s="95">
        <v>43638</v>
      </c>
      <c r="H56" s="92">
        <v>12</v>
      </c>
    </row>
    <row r="57" spans="1:8">
      <c r="A57" s="93" t="s">
        <v>1105</v>
      </c>
      <c r="B57" s="94" t="s">
        <v>1090</v>
      </c>
      <c r="C57" s="95" t="s">
        <v>1023</v>
      </c>
      <c r="D57" s="95">
        <v>43481</v>
      </c>
      <c r="E57" s="96">
        <v>43494</v>
      </c>
      <c r="F57" s="95">
        <v>43481</v>
      </c>
      <c r="G57" s="95">
        <v>43484</v>
      </c>
      <c r="H57" s="92">
        <v>9</v>
      </c>
    </row>
    <row r="58" spans="1:8">
      <c r="A58" s="93" t="s">
        <v>1105</v>
      </c>
      <c r="B58" s="94" t="s">
        <v>1090</v>
      </c>
      <c r="C58" s="95" t="s">
        <v>1023</v>
      </c>
      <c r="D58" s="95">
        <v>43481</v>
      </c>
      <c r="E58" s="96">
        <v>43494</v>
      </c>
      <c r="F58" s="95">
        <v>43485</v>
      </c>
      <c r="G58" s="95">
        <v>43491</v>
      </c>
      <c r="H58" s="92">
        <v>15</v>
      </c>
    </row>
    <row r="59" spans="1:8">
      <c r="A59" s="93" t="s">
        <v>1105</v>
      </c>
      <c r="B59" s="94" t="s">
        <v>1090</v>
      </c>
      <c r="C59" s="95" t="s">
        <v>1023</v>
      </c>
      <c r="D59" s="95">
        <v>43481</v>
      </c>
      <c r="E59" s="96">
        <v>43494</v>
      </c>
      <c r="F59" s="95">
        <v>43492</v>
      </c>
      <c r="G59" s="95">
        <v>43498</v>
      </c>
      <c r="H59" s="92">
        <v>6</v>
      </c>
    </row>
    <row r="60" spans="1:8">
      <c r="A60" s="93" t="s">
        <v>1106</v>
      </c>
      <c r="B60" s="94" t="s">
        <v>1100</v>
      </c>
      <c r="C60" s="95" t="s">
        <v>1023</v>
      </c>
      <c r="D60" s="95">
        <v>43488</v>
      </c>
      <c r="E60" s="96">
        <v>43494</v>
      </c>
      <c r="F60" s="95">
        <v>43485</v>
      </c>
      <c r="G60" s="95">
        <v>43491</v>
      </c>
      <c r="H60" s="92">
        <v>6</v>
      </c>
    </row>
    <row r="61" spans="1:8">
      <c r="A61" s="93" t="s">
        <v>1106</v>
      </c>
      <c r="B61" s="94" t="s">
        <v>1100</v>
      </c>
      <c r="C61" s="95" t="s">
        <v>1023</v>
      </c>
      <c r="D61" s="95">
        <v>43488</v>
      </c>
      <c r="E61" s="96">
        <v>43494</v>
      </c>
      <c r="F61" s="95">
        <v>43492</v>
      </c>
      <c r="G61" s="95">
        <v>43498</v>
      </c>
      <c r="H61" s="92">
        <v>4</v>
      </c>
    </row>
    <row r="62" spans="1:8">
      <c r="A62" s="93" t="s">
        <v>1107</v>
      </c>
      <c r="B62" s="94" t="s">
        <v>1086</v>
      </c>
      <c r="C62" s="95" t="s">
        <v>1023</v>
      </c>
      <c r="D62" s="95">
        <v>43495</v>
      </c>
      <c r="E62" s="96">
        <v>43495</v>
      </c>
      <c r="F62" s="95">
        <v>43492</v>
      </c>
      <c r="G62" s="95">
        <v>43498</v>
      </c>
      <c r="H62" s="92">
        <v>1</v>
      </c>
    </row>
    <row r="63" spans="1:8">
      <c r="A63" s="93" t="s">
        <v>1108</v>
      </c>
      <c r="B63" s="94" t="s">
        <v>1091</v>
      </c>
      <c r="C63" s="95" t="s">
        <v>1023</v>
      </c>
      <c r="D63" s="95">
        <v>43586</v>
      </c>
      <c r="E63" s="96">
        <v>43586</v>
      </c>
      <c r="F63" s="95">
        <v>43583</v>
      </c>
      <c r="G63" s="95">
        <v>43589</v>
      </c>
      <c r="H63" s="92">
        <v>6</v>
      </c>
    </row>
    <row r="64" spans="1:8">
      <c r="A64" s="93" t="s">
        <v>1109</v>
      </c>
      <c r="B64" s="94" t="s">
        <v>1090</v>
      </c>
      <c r="C64" s="95" t="s">
        <v>1023</v>
      </c>
      <c r="D64" s="95">
        <v>43587</v>
      </c>
      <c r="E64" s="96">
        <v>43599</v>
      </c>
      <c r="F64" s="95">
        <v>43583</v>
      </c>
      <c r="G64" s="95">
        <v>43589</v>
      </c>
      <c r="H64" s="92">
        <v>6</v>
      </c>
    </row>
    <row r="65" spans="1:8">
      <c r="A65" s="93" t="s">
        <v>1109</v>
      </c>
      <c r="B65" s="94" t="s">
        <v>1090</v>
      </c>
      <c r="C65" s="95" t="s">
        <v>1023</v>
      </c>
      <c r="D65" s="95">
        <v>43587</v>
      </c>
      <c r="E65" s="96">
        <v>43599</v>
      </c>
      <c r="F65" s="95">
        <v>43590</v>
      </c>
      <c r="G65" s="95">
        <v>43596</v>
      </c>
      <c r="H65" s="92">
        <v>12</v>
      </c>
    </row>
    <row r="66" spans="1:8">
      <c r="A66" s="93" t="s">
        <v>1109</v>
      </c>
      <c r="B66" s="94" t="s">
        <v>1090</v>
      </c>
      <c r="C66" s="95" t="s">
        <v>1023</v>
      </c>
      <c r="D66" s="95">
        <v>43587</v>
      </c>
      <c r="E66" s="96">
        <v>43599</v>
      </c>
      <c r="F66" s="95">
        <v>43597</v>
      </c>
      <c r="G66" s="95">
        <v>43603</v>
      </c>
      <c r="H66" s="92">
        <v>6</v>
      </c>
    </row>
    <row r="67" spans="1:8">
      <c r="A67" s="93" t="s">
        <v>1110</v>
      </c>
      <c r="B67" s="94" t="s">
        <v>1100</v>
      </c>
      <c r="C67" s="95" t="s">
        <v>1023</v>
      </c>
      <c r="D67" s="95">
        <v>43592</v>
      </c>
      <c r="E67" s="96">
        <v>43599</v>
      </c>
      <c r="F67" s="95">
        <v>43590</v>
      </c>
      <c r="G67" s="95">
        <v>43596</v>
      </c>
      <c r="H67" s="92">
        <v>8</v>
      </c>
    </row>
    <row r="68" spans="1:8">
      <c r="A68" s="93" t="s">
        <v>1110</v>
      </c>
      <c r="B68" s="94" t="s">
        <v>1100</v>
      </c>
      <c r="C68" s="95" t="s">
        <v>1023</v>
      </c>
      <c r="D68" s="95">
        <v>43592</v>
      </c>
      <c r="E68" s="96">
        <v>43599</v>
      </c>
      <c r="F68" s="95">
        <v>43597</v>
      </c>
      <c r="G68" s="95">
        <v>43603</v>
      </c>
      <c r="H68" s="92">
        <v>4</v>
      </c>
    </row>
    <row r="69" spans="1:8">
      <c r="A69" s="93" t="s">
        <v>1111</v>
      </c>
      <c r="B69" s="94" t="s">
        <v>1086</v>
      </c>
      <c r="C69" s="95" t="s">
        <v>1023</v>
      </c>
      <c r="D69" s="95">
        <v>43600</v>
      </c>
      <c r="E69" s="96">
        <v>43600</v>
      </c>
      <c r="F69" s="95">
        <v>43597</v>
      </c>
      <c r="G69" s="95">
        <v>43603</v>
      </c>
      <c r="H69" s="92">
        <v>1</v>
      </c>
    </row>
    <row r="70" spans="1:8">
      <c r="A70" s="93" t="s">
        <v>1112</v>
      </c>
      <c r="B70" s="94" t="s">
        <v>1091</v>
      </c>
      <c r="C70" s="95" t="s">
        <v>1023</v>
      </c>
      <c r="D70" s="95">
        <v>43621</v>
      </c>
      <c r="E70" s="96">
        <v>43621</v>
      </c>
      <c r="F70" s="95">
        <v>43618</v>
      </c>
      <c r="G70" s="95">
        <v>43624</v>
      </c>
      <c r="H70" s="92">
        <v>6</v>
      </c>
    </row>
    <row r="71" spans="1:8">
      <c r="A71" s="93" t="s">
        <v>1113</v>
      </c>
      <c r="B71" s="94" t="s">
        <v>1090</v>
      </c>
      <c r="C71" s="95" t="s">
        <v>1023</v>
      </c>
      <c r="D71" s="95">
        <v>43622</v>
      </c>
      <c r="E71" s="96">
        <v>43634</v>
      </c>
      <c r="F71" s="95">
        <v>43618</v>
      </c>
      <c r="G71" s="95">
        <v>43624</v>
      </c>
      <c r="H71" s="92">
        <v>3</v>
      </c>
    </row>
    <row r="72" spans="1:8">
      <c r="A72" s="93" t="s">
        <v>1113</v>
      </c>
      <c r="B72" s="94" t="s">
        <v>1090</v>
      </c>
      <c r="C72" s="95" t="s">
        <v>1023</v>
      </c>
      <c r="D72" s="95">
        <v>43622</v>
      </c>
      <c r="E72" s="96">
        <v>43634</v>
      </c>
      <c r="F72" s="95">
        <v>43625</v>
      </c>
      <c r="G72" s="95">
        <v>43631</v>
      </c>
      <c r="H72" s="92">
        <v>15</v>
      </c>
    </row>
    <row r="73" spans="1:8">
      <c r="A73" s="93" t="s">
        <v>1113</v>
      </c>
      <c r="B73" s="94" t="s">
        <v>1090</v>
      </c>
      <c r="C73" s="95" t="s">
        <v>1023</v>
      </c>
      <c r="D73" s="95">
        <v>43622</v>
      </c>
      <c r="E73" s="96">
        <v>43634</v>
      </c>
      <c r="F73" s="95">
        <v>43632</v>
      </c>
      <c r="G73" s="95">
        <v>43638</v>
      </c>
      <c r="H73" s="92">
        <v>6</v>
      </c>
    </row>
    <row r="74" spans="1:8">
      <c r="A74" s="93" t="s">
        <v>1114</v>
      </c>
      <c r="B74" s="94" t="s">
        <v>1100</v>
      </c>
      <c r="C74" s="95" t="s">
        <v>1023</v>
      </c>
      <c r="D74" s="95">
        <v>43627</v>
      </c>
      <c r="E74" s="96">
        <v>43634</v>
      </c>
      <c r="F74" s="95">
        <v>43625</v>
      </c>
      <c r="G74" s="95">
        <v>43631</v>
      </c>
      <c r="H74" s="92">
        <v>8</v>
      </c>
    </row>
    <row r="75" spans="1:8">
      <c r="A75" s="93" t="s">
        <v>1114</v>
      </c>
      <c r="B75" s="94" t="s">
        <v>1100</v>
      </c>
      <c r="C75" s="95" t="s">
        <v>1023</v>
      </c>
      <c r="D75" s="95">
        <v>43627</v>
      </c>
      <c r="E75" s="96">
        <v>43634</v>
      </c>
      <c r="F75" s="95">
        <v>43632</v>
      </c>
      <c r="G75" s="95">
        <v>43638</v>
      </c>
      <c r="H75" s="92">
        <v>4</v>
      </c>
    </row>
    <row r="76" spans="1:8">
      <c r="A76" s="93" t="s">
        <v>1115</v>
      </c>
      <c r="B76" s="94" t="s">
        <v>1086</v>
      </c>
      <c r="C76" s="95" t="s">
        <v>1023</v>
      </c>
      <c r="D76" s="95">
        <v>43635</v>
      </c>
      <c r="E76" s="96">
        <v>43635</v>
      </c>
      <c r="F76" s="95">
        <v>43632</v>
      </c>
      <c r="G76" s="95">
        <v>43638</v>
      </c>
      <c r="H76" s="92">
        <v>1</v>
      </c>
    </row>
    <row r="77" spans="1:8">
      <c r="G77" s="92" t="s">
        <v>3</v>
      </c>
      <c r="H77" s="92">
        <f>SUM(H2:H76)</f>
        <v>587</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GG212"/>
  <sheetViews>
    <sheetView tabSelected="1" zoomScale="115" zoomScaleNormal="115" zoomScalePageLayoutView="55" workbookViewId="0">
      <pane ySplit="4" topLeftCell="A69"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189" width="1.8984375" style="114" customWidth="1"/>
    <col min="190" max="16384" width="10" style="114"/>
  </cols>
  <sheetData>
    <row r="1" spans="1:189" s="158" customFormat="1" ht="19.95" customHeight="1">
      <c r="A1" s="141"/>
      <c r="B1" s="151"/>
      <c r="C1" s="142"/>
      <c r="D1" s="143" t="str">
        <f ca="1">xlgantt.ProjectName()</f>
        <v>중쇄를찍자!</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2019-01-16~2019-06-19 [계획:42.31% 실적:39.94%]</v>
      </c>
      <c r="AC1" s="233" t="s">
        <v>1002</v>
      </c>
      <c r="AD1" s="233"/>
      <c r="AE1" s="233"/>
      <c r="AF1" s="233"/>
      <c r="AG1" s="233"/>
      <c r="AH1" s="233"/>
      <c r="AI1" s="233"/>
      <c r="AJ1" s="233"/>
      <c r="AK1" s="233"/>
      <c r="AL1" s="233"/>
      <c r="AM1" s="233"/>
      <c r="AN1" s="233"/>
      <c r="AO1" s="233"/>
      <c r="AP1" s="233"/>
      <c r="AQ1" s="233"/>
      <c r="AR1" s="233"/>
      <c r="AS1" s="233"/>
      <c r="AT1" s="233"/>
      <c r="AU1" s="233"/>
      <c r="AV1" s="233"/>
      <c r="AW1" s="233"/>
      <c r="AX1" s="233"/>
      <c r="AY1" s="233"/>
      <c r="AZ1" s="233"/>
      <c r="BA1" s="233"/>
      <c r="BB1" s="233"/>
      <c r="BC1" s="233"/>
      <c r="BD1" s="233"/>
      <c r="BE1" s="233"/>
      <c r="BF1" s="233"/>
      <c r="BG1" s="233"/>
      <c r="BH1" s="233"/>
      <c r="BI1" s="233"/>
      <c r="BJ1" s="233"/>
      <c r="BK1" s="233"/>
      <c r="BL1" s="233"/>
      <c r="BM1" s="233"/>
      <c r="BN1" s="233"/>
      <c r="BO1" s="233"/>
      <c r="BP1" s="233"/>
      <c r="BQ1" s="233"/>
      <c r="BR1" s="233"/>
      <c r="BS1" s="233"/>
      <c r="BT1" s="233"/>
      <c r="BU1" s="233"/>
      <c r="BV1" s="233"/>
      <c r="BW1" s="233"/>
      <c r="BX1" s="233"/>
      <c r="BY1" s="233"/>
      <c r="BZ1" s="233"/>
      <c r="CA1" s="233"/>
    </row>
    <row r="2" spans="1:189" s="158" customFormat="1" ht="15" customHeight="1">
      <c r="A2" s="159"/>
      <c r="B2" s="159"/>
      <c r="C2" s="160"/>
      <c r="D2" s="244"/>
      <c r="E2" s="244"/>
      <c r="F2" s="244"/>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1018</v>
      </c>
    </row>
    <row r="3" spans="1:189" s="1" customFormat="1" ht="19.95" customHeight="1">
      <c r="A3" s="235" t="s">
        <v>1072</v>
      </c>
      <c r="B3" s="237" t="s">
        <v>1073</v>
      </c>
      <c r="C3" s="239" t="s">
        <v>1040</v>
      </c>
      <c r="D3" s="240" t="s">
        <v>1053</v>
      </c>
      <c r="E3" s="241" t="s">
        <v>1054</v>
      </c>
      <c r="F3" s="242"/>
      <c r="G3" s="242"/>
      <c r="H3" s="242"/>
      <c r="I3" s="242"/>
      <c r="J3" s="242"/>
      <c r="K3" s="243"/>
      <c r="L3" s="245" t="s">
        <v>1047</v>
      </c>
      <c r="M3" s="245" t="s">
        <v>1048</v>
      </c>
      <c r="N3" s="245" t="s">
        <v>1055</v>
      </c>
      <c r="O3" s="246" t="s">
        <v>1049</v>
      </c>
      <c r="P3" s="247" t="s">
        <v>1034</v>
      </c>
      <c r="Q3" s="247" t="s">
        <v>1077</v>
      </c>
      <c r="R3" s="247" t="s">
        <v>1041</v>
      </c>
      <c r="S3" s="247" t="s">
        <v>1050</v>
      </c>
      <c r="T3" s="249" t="s">
        <v>1056</v>
      </c>
      <c r="U3" s="249" t="s">
        <v>1051</v>
      </c>
      <c r="V3" s="250" t="s">
        <v>1057</v>
      </c>
      <c r="W3" s="251" t="s">
        <v>1058</v>
      </c>
      <c r="X3" s="252" t="s">
        <v>1035</v>
      </c>
      <c r="Y3" s="245" t="s">
        <v>1019</v>
      </c>
      <c r="Z3" s="237" t="s">
        <v>1074</v>
      </c>
      <c r="AA3" s="253" t="s">
        <v>1078</v>
      </c>
      <c r="AB3" s="248" t="s">
        <v>1042</v>
      </c>
      <c r="AC3" s="231">
        <v>43478</v>
      </c>
      <c r="AD3" s="232"/>
      <c r="AE3" s="232"/>
      <c r="AF3" s="232"/>
      <c r="AG3" s="232">
        <v>43506</v>
      </c>
      <c r="AH3" s="232"/>
      <c r="AI3" s="232"/>
      <c r="AJ3" s="232"/>
      <c r="AK3" s="232">
        <v>43534</v>
      </c>
      <c r="AL3" s="232"/>
      <c r="AM3" s="232"/>
      <c r="AN3" s="232"/>
      <c r="AO3" s="232">
        <v>43562</v>
      </c>
      <c r="AP3" s="232"/>
      <c r="AQ3" s="232"/>
      <c r="AR3" s="232"/>
      <c r="AS3" s="232">
        <v>43590</v>
      </c>
      <c r="AT3" s="232"/>
      <c r="AU3" s="232"/>
      <c r="AV3" s="232"/>
      <c r="AW3" s="232">
        <v>43618</v>
      </c>
      <c r="AX3" s="232"/>
      <c r="AY3" s="232"/>
      <c r="AZ3" s="234"/>
    </row>
    <row r="4" spans="1:189" s="2" customFormat="1" ht="4.95" customHeight="1">
      <c r="A4" s="236"/>
      <c r="B4" s="238"/>
      <c r="C4" s="235"/>
      <c r="D4" s="240"/>
      <c r="E4" s="241"/>
      <c r="F4" s="242"/>
      <c r="G4" s="242"/>
      <c r="H4" s="242"/>
      <c r="I4" s="242"/>
      <c r="J4" s="242"/>
      <c r="K4" s="243"/>
      <c r="L4" s="245"/>
      <c r="M4" s="245"/>
      <c r="N4" s="245"/>
      <c r="O4" s="246"/>
      <c r="P4" s="247"/>
      <c r="Q4" s="247"/>
      <c r="R4" s="247"/>
      <c r="S4" s="247"/>
      <c r="T4" s="245"/>
      <c r="U4" s="245"/>
      <c r="V4" s="250"/>
      <c r="W4" s="251"/>
      <c r="X4" s="252"/>
      <c r="Y4" s="245"/>
      <c r="Z4" s="237"/>
      <c r="AA4" s="253"/>
      <c r="AB4" s="248"/>
      <c r="AC4" s="112">
        <v>43478</v>
      </c>
      <c r="AD4" s="113">
        <v>43485</v>
      </c>
      <c r="AE4" s="113">
        <v>43492</v>
      </c>
      <c r="AF4" s="113">
        <v>43499</v>
      </c>
      <c r="AG4" s="113">
        <v>43506</v>
      </c>
      <c r="AH4" s="113">
        <v>43513</v>
      </c>
      <c r="AI4" s="113">
        <v>43520</v>
      </c>
      <c r="AJ4" s="113">
        <v>43527</v>
      </c>
      <c r="AK4" s="113">
        <v>43534</v>
      </c>
      <c r="AL4" s="113">
        <v>43541</v>
      </c>
      <c r="AM4" s="113">
        <v>43548</v>
      </c>
      <c r="AN4" s="113">
        <v>43555</v>
      </c>
      <c r="AO4" s="113">
        <v>43562</v>
      </c>
      <c r="AP4" s="113">
        <v>43569</v>
      </c>
      <c r="AQ4" s="113">
        <v>43576</v>
      </c>
      <c r="AR4" s="113">
        <v>43583</v>
      </c>
      <c r="AS4" s="113">
        <v>43590</v>
      </c>
      <c r="AT4" s="113">
        <v>43597</v>
      </c>
      <c r="AU4" s="113">
        <v>43604</v>
      </c>
      <c r="AV4" s="113">
        <v>43611</v>
      </c>
      <c r="AW4" s="113">
        <v>43618</v>
      </c>
      <c r="AX4" s="113">
        <v>43625</v>
      </c>
      <c r="AY4" s="113">
        <v>43632</v>
      </c>
      <c r="AZ4" s="115"/>
      <c r="BA4" s="121"/>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c r="FF4" s="122"/>
      <c r="FG4" s="122"/>
      <c r="FH4" s="122"/>
      <c r="FI4" s="122"/>
      <c r="FJ4" s="122"/>
      <c r="FK4" s="122"/>
      <c r="FL4" s="122"/>
      <c r="FM4" s="122"/>
      <c r="FN4" s="122"/>
      <c r="FO4" s="122"/>
      <c r="FP4" s="122"/>
      <c r="FQ4" s="122"/>
      <c r="FR4" s="122"/>
      <c r="FS4" s="122"/>
      <c r="FT4" s="122"/>
      <c r="FU4" s="122"/>
      <c r="FV4" s="122"/>
      <c r="FW4" s="122"/>
      <c r="FX4" s="122"/>
      <c r="FY4" s="122"/>
      <c r="FZ4" s="122"/>
      <c r="GA4" s="122"/>
      <c r="GB4" s="122"/>
      <c r="GC4" s="122"/>
      <c r="GD4" s="122"/>
      <c r="GE4" s="122"/>
      <c r="GF4" s="122"/>
      <c r="GG4" s="122"/>
    </row>
    <row r="5" spans="1:189">
      <c r="A5" s="116"/>
      <c r="B5" s="116" t="s">
        <v>996</v>
      </c>
      <c r="C5" s="116">
        <v>1</v>
      </c>
      <c r="D5" s="3" t="s">
        <v>1127</v>
      </c>
      <c r="E5" s="184" t="s">
        <v>975</v>
      </c>
      <c r="F5" s="184"/>
      <c r="G5" s="184"/>
      <c r="H5" s="184"/>
      <c r="I5" s="184"/>
      <c r="J5" s="184"/>
      <c r="K5" s="184"/>
      <c r="L5" s="184"/>
      <c r="M5" s="185">
        <v>43481</v>
      </c>
      <c r="N5" s="185">
        <v>43635</v>
      </c>
      <c r="O5" s="186"/>
      <c r="P5" s="187">
        <v>709</v>
      </c>
      <c r="Q5" s="187">
        <v>300</v>
      </c>
      <c r="R5" s="188">
        <v>105</v>
      </c>
      <c r="S5" s="188">
        <v>39</v>
      </c>
      <c r="T5" s="185"/>
      <c r="U5" s="185"/>
      <c r="V5" s="189">
        <v>0</v>
      </c>
      <c r="W5" s="190">
        <v>0</v>
      </c>
      <c r="X5" s="191"/>
      <c r="Y5" s="186"/>
      <c r="Z5" s="192"/>
      <c r="AA5" s="97">
        <v>0.42313117066290551</v>
      </c>
      <c r="AB5" s="193">
        <v>0.39943582510578279</v>
      </c>
      <c r="AC5" s="123"/>
      <c r="AD5" s="4"/>
      <c r="AE5" s="4"/>
      <c r="AF5" s="4"/>
      <c r="AG5" s="4"/>
      <c r="AH5" s="4"/>
      <c r="AI5" s="4"/>
      <c r="AJ5" s="4"/>
      <c r="AK5" s="4"/>
      <c r="AL5" s="4" t="str">
        <f>"  " &amp; TEXT(AB5,"#0.00%") &amp; " "</f>
        <v xml:space="preserve">  39.94% </v>
      </c>
      <c r="AM5" s="4"/>
      <c r="AN5" s="4"/>
      <c r="AO5" s="4"/>
      <c r="AP5" s="4"/>
      <c r="AQ5" s="4"/>
      <c r="AR5" s="4"/>
      <c r="AS5" s="4"/>
      <c r="AT5" s="4"/>
      <c r="AU5" s="4"/>
      <c r="AV5" s="4"/>
      <c r="AW5" s="4"/>
      <c r="AX5" s="4"/>
      <c r="AY5" s="4" t="str">
        <f>"    " &amp; "시스템 개발" &amp; " " &amp; IF(M5="","",TEXT(M5,"M/D-")) &amp; IF(N5="","",TEXT(N5,"M/D")) &amp; " "</f>
        <v xml:space="preserve">    시스템 개발 1/16-6/19 </v>
      </c>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row>
    <row r="6" spans="1:189" ht="13.2" outlineLevel="1">
      <c r="A6" s="116"/>
      <c r="B6" s="116" t="s">
        <v>996</v>
      </c>
      <c r="C6" s="116">
        <v>2</v>
      </c>
      <c r="D6" s="3" t="s">
        <v>1128</v>
      </c>
      <c r="E6" s="184"/>
      <c r="F6" s="216" t="s">
        <v>976</v>
      </c>
      <c r="G6" s="184"/>
      <c r="H6" s="184"/>
      <c r="I6" s="184"/>
      <c r="J6" s="184"/>
      <c r="K6" s="184"/>
      <c r="L6" s="184"/>
      <c r="M6" s="185">
        <v>43488</v>
      </c>
      <c r="N6" s="185">
        <v>43502</v>
      </c>
      <c r="O6" s="186"/>
      <c r="P6" s="187">
        <v>54</v>
      </c>
      <c r="Q6" s="187">
        <v>54</v>
      </c>
      <c r="R6" s="188">
        <v>8</v>
      </c>
      <c r="S6" s="188">
        <v>8</v>
      </c>
      <c r="T6" s="185"/>
      <c r="U6" s="185"/>
      <c r="V6" s="189">
        <v>0</v>
      </c>
      <c r="W6" s="190">
        <v>0</v>
      </c>
      <c r="X6" s="191"/>
      <c r="Y6" s="186"/>
      <c r="Z6" s="192"/>
      <c r="AA6" s="97">
        <v>1</v>
      </c>
      <c r="AB6" s="193">
        <v>1</v>
      </c>
      <c r="AC6" s="123"/>
      <c r="AD6" s="4"/>
      <c r="AE6" s="4"/>
      <c r="AF6" s="4" t="str">
        <f>"    " &amp; TEXT(AB6,"#0.00%") &amp; " " &amp; "분석" &amp; " " &amp; IF(M6="","",TEXT(M6,"M/D-")) &amp; IF(N6="","",TEXT(N6,"M/D")) &amp; " "</f>
        <v xml:space="preserve">    100.00% 분석 1/23-2/6 </v>
      </c>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row>
    <row r="7" spans="1:189" ht="13.2" outlineLevel="2">
      <c r="A7" s="116"/>
      <c r="B7" s="116"/>
      <c r="C7" s="116">
        <v>3</v>
      </c>
      <c r="D7" s="3" t="s">
        <v>972</v>
      </c>
      <c r="E7" s="184"/>
      <c r="F7" s="184"/>
      <c r="G7" s="216" t="s">
        <v>1093</v>
      </c>
      <c r="H7" s="184"/>
      <c r="I7" s="184"/>
      <c r="J7" s="184"/>
      <c r="K7" s="184"/>
      <c r="L7" s="184"/>
      <c r="M7" s="185">
        <v>43488</v>
      </c>
      <c r="N7" s="185">
        <v>43495</v>
      </c>
      <c r="O7" s="186"/>
      <c r="P7" s="187">
        <v>36</v>
      </c>
      <c r="Q7" s="187">
        <v>36</v>
      </c>
      <c r="R7" s="188">
        <v>6</v>
      </c>
      <c r="S7" s="188">
        <v>6</v>
      </c>
      <c r="T7" s="185"/>
      <c r="U7" s="185"/>
      <c r="V7" s="189"/>
      <c r="W7" s="190">
        <v>0</v>
      </c>
      <c r="X7" s="191">
        <v>6</v>
      </c>
      <c r="Y7" s="186"/>
      <c r="Z7" s="192"/>
      <c r="AA7" s="97">
        <v>1</v>
      </c>
      <c r="AB7" s="193">
        <v>1</v>
      </c>
      <c r="AC7" s="123"/>
      <c r="AD7" s="4"/>
      <c r="AE7" s="4" t="str">
        <f>"    " &amp; TEXT(AB7,"#0.00%") &amp; " " &amp; "주제선정" &amp; " " &amp; IF(M7="","",TEXT(M7,"M/D-")) &amp; IF(N7="","",TEXT(N7,"M/D")) &amp; " "</f>
        <v xml:space="preserve">    100.00% 주제선정 1/23-1/30 </v>
      </c>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row>
    <row r="8" spans="1:189" ht="13.2" outlineLevel="2">
      <c r="A8" s="116"/>
      <c r="B8" s="116"/>
      <c r="C8" s="116">
        <v>3</v>
      </c>
      <c r="D8" s="3" t="s">
        <v>997</v>
      </c>
      <c r="E8" s="184"/>
      <c r="F8" s="184"/>
      <c r="G8" s="216" t="s">
        <v>1092</v>
      </c>
      <c r="H8" s="184"/>
      <c r="I8" s="184"/>
      <c r="J8" s="184"/>
      <c r="K8" s="218"/>
      <c r="L8" s="184"/>
      <c r="M8" s="185">
        <v>43495</v>
      </c>
      <c r="N8" s="185">
        <v>43502</v>
      </c>
      <c r="O8" s="186"/>
      <c r="P8" s="187">
        <v>3</v>
      </c>
      <c r="Q8" s="187">
        <v>3</v>
      </c>
      <c r="R8" s="188">
        <v>3</v>
      </c>
      <c r="S8" s="188">
        <v>3</v>
      </c>
      <c r="T8" s="185"/>
      <c r="U8" s="185"/>
      <c r="V8" s="189"/>
      <c r="W8" s="190">
        <v>0</v>
      </c>
      <c r="X8" s="191">
        <v>1</v>
      </c>
      <c r="Y8" s="186"/>
      <c r="Z8" s="192"/>
      <c r="AA8" s="97">
        <v>1</v>
      </c>
      <c r="AB8" s="193">
        <v>1</v>
      </c>
      <c r="AC8" s="123"/>
      <c r="AD8" s="4"/>
      <c r="AE8" s="4"/>
      <c r="AF8" s="4" t="str">
        <f>"    " &amp; TEXT(AB8,"#0.00%") &amp; " " &amp; "시장 조사" &amp; " " &amp; IF(M8="","",TEXT(M8,"M/D-")) &amp; IF(N8="","",TEXT(N8,"M/D")) &amp; " "</f>
        <v xml:space="preserve">    100.00% 시장 조사 1/30-2/6 </v>
      </c>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row>
    <row r="9" spans="1:189" outlineLevel="2">
      <c r="A9" s="116"/>
      <c r="B9" s="116"/>
      <c r="C9" s="116">
        <v>3</v>
      </c>
      <c r="D9" s="3" t="s">
        <v>1101</v>
      </c>
      <c r="E9" s="184"/>
      <c r="F9" s="184"/>
      <c r="G9" s="184" t="s">
        <v>1081</v>
      </c>
      <c r="H9" s="184"/>
      <c r="I9" s="184"/>
      <c r="J9" s="184"/>
      <c r="K9" s="184"/>
      <c r="L9" s="184"/>
      <c r="M9" s="185">
        <v>43495</v>
      </c>
      <c r="N9" s="185">
        <v>43502</v>
      </c>
      <c r="O9" s="186"/>
      <c r="P9" s="187">
        <v>6</v>
      </c>
      <c r="Q9" s="187">
        <v>6</v>
      </c>
      <c r="R9" s="188">
        <v>3</v>
      </c>
      <c r="S9" s="188">
        <v>3</v>
      </c>
      <c r="T9" s="185"/>
      <c r="U9" s="185"/>
      <c r="V9" s="189"/>
      <c r="W9" s="190">
        <v>0</v>
      </c>
      <c r="X9" s="191">
        <v>2</v>
      </c>
      <c r="Y9" s="186"/>
      <c r="Z9" s="192"/>
      <c r="AA9" s="97">
        <v>1</v>
      </c>
      <c r="AB9" s="193">
        <v>1</v>
      </c>
      <c r="AC9" s="123"/>
      <c r="AD9" s="4"/>
      <c r="AE9" s="4"/>
      <c r="AF9" s="4" t="str">
        <f>"    " &amp; TEXT(AB9,"#0.00%") &amp; " " &amp; "타겟유저 분석" &amp; " " &amp; IF(M9="","",TEXT(M9,"M/D-")) &amp; IF(N9="","",TEXT(N9,"M/D")) &amp; " "</f>
        <v xml:space="preserve">    100.00% 타겟유저 분석 1/30-2/6 </v>
      </c>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row>
    <row r="10" spans="1:189" ht="13.2" outlineLevel="2">
      <c r="A10" s="116"/>
      <c r="B10" s="116"/>
      <c r="C10" s="116">
        <v>3</v>
      </c>
      <c r="D10" s="3" t="s">
        <v>1102</v>
      </c>
      <c r="E10" s="184"/>
      <c r="F10" s="184"/>
      <c r="G10" s="216" t="s">
        <v>1080</v>
      </c>
      <c r="H10" s="184"/>
      <c r="I10" s="184"/>
      <c r="J10" s="184"/>
      <c r="K10" s="218"/>
      <c r="L10" s="184"/>
      <c r="M10" s="185">
        <v>43495</v>
      </c>
      <c r="N10" s="185">
        <v>43502</v>
      </c>
      <c r="O10" s="186"/>
      <c r="P10" s="187">
        <v>6</v>
      </c>
      <c r="Q10" s="187">
        <v>6</v>
      </c>
      <c r="R10" s="188">
        <v>3</v>
      </c>
      <c r="S10" s="188">
        <v>3</v>
      </c>
      <c r="T10" s="185"/>
      <c r="U10" s="185"/>
      <c r="V10" s="189"/>
      <c r="W10" s="190">
        <v>0</v>
      </c>
      <c r="X10" s="191">
        <v>2</v>
      </c>
      <c r="Y10" s="186"/>
      <c r="Z10" s="192"/>
      <c r="AA10" s="97">
        <v>1</v>
      </c>
      <c r="AB10" s="193">
        <v>1</v>
      </c>
      <c r="AC10" s="123"/>
      <c r="AD10" s="4"/>
      <c r="AE10" s="4"/>
      <c r="AF10" s="4" t="str">
        <f>"    " &amp; TEXT(AB10,"#0.00%") &amp; " " &amp; "필요자료 정리" &amp; " " &amp; IF(M10="","",TEXT(M10,"M/D-")) &amp; IF(N10="","",TEXT(N10,"M/D")) &amp; " "</f>
        <v xml:space="preserve">    100.00% 필요자료 정리 1/30-2/6 </v>
      </c>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row>
    <row r="11" spans="1:189" ht="13.2" outlineLevel="2">
      <c r="A11" s="116"/>
      <c r="B11" s="116"/>
      <c r="C11" s="116">
        <v>3</v>
      </c>
      <c r="D11" s="3" t="s">
        <v>1103</v>
      </c>
      <c r="E11" s="184"/>
      <c r="F11" s="184"/>
      <c r="G11" s="216" t="s">
        <v>1094</v>
      </c>
      <c r="H11" s="184"/>
      <c r="I11" s="184"/>
      <c r="J11" s="184"/>
      <c r="K11" s="218"/>
      <c r="L11" s="184"/>
      <c r="M11" s="185">
        <v>43495</v>
      </c>
      <c r="N11" s="185">
        <v>43502</v>
      </c>
      <c r="O11" s="186"/>
      <c r="P11" s="187">
        <v>3</v>
      </c>
      <c r="Q11" s="187">
        <v>3</v>
      </c>
      <c r="R11" s="188">
        <v>3</v>
      </c>
      <c r="S11" s="188">
        <v>3</v>
      </c>
      <c r="T11" s="185"/>
      <c r="U11" s="185"/>
      <c r="V11" s="189"/>
      <c r="W11" s="190">
        <v>0</v>
      </c>
      <c r="X11" s="191">
        <v>1</v>
      </c>
      <c r="Y11" s="186"/>
      <c r="Z11" s="192"/>
      <c r="AA11" s="97">
        <v>1</v>
      </c>
      <c r="AB11" s="193">
        <v>1</v>
      </c>
      <c r="AC11" s="123"/>
      <c r="AD11" s="4"/>
      <c r="AE11" s="4"/>
      <c r="AF11" s="4" t="str">
        <f>"    " &amp; TEXT(AB11,"#0.00%") &amp; " " &amp; "기능정의" &amp; " " &amp; IF(M11="","",TEXT(M11,"M/D-")) &amp; IF(N11="","",TEXT(N11,"M/D")) &amp; " "</f>
        <v xml:space="preserve">    100.00% 기능정의 1/30-2/6 </v>
      </c>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row>
    <row r="12" spans="1:189" ht="13.2" outlineLevel="1">
      <c r="A12" s="116"/>
      <c r="B12" s="116" t="s">
        <v>996</v>
      </c>
      <c r="C12" s="116">
        <v>2</v>
      </c>
      <c r="D12" s="3" t="s">
        <v>1129</v>
      </c>
      <c r="E12" s="184"/>
      <c r="F12" s="216" t="s">
        <v>977</v>
      </c>
      <c r="G12" s="184"/>
      <c r="H12" s="184"/>
      <c r="I12" s="184"/>
      <c r="J12" s="184"/>
      <c r="K12" s="184"/>
      <c r="L12" s="184"/>
      <c r="M12" s="185">
        <v>43509</v>
      </c>
      <c r="N12" s="185">
        <v>43537</v>
      </c>
      <c r="O12" s="186"/>
      <c r="P12" s="187">
        <v>175</v>
      </c>
      <c r="Q12" s="187">
        <v>175</v>
      </c>
      <c r="R12" s="188">
        <v>20</v>
      </c>
      <c r="S12" s="188">
        <v>20</v>
      </c>
      <c r="T12" s="185"/>
      <c r="U12" s="185"/>
      <c r="V12" s="189">
        <v>0</v>
      </c>
      <c r="W12" s="190">
        <v>0</v>
      </c>
      <c r="X12" s="191"/>
      <c r="Y12" s="186"/>
      <c r="Z12" s="192"/>
      <c r="AA12" s="97">
        <v>1</v>
      </c>
      <c r="AB12" s="193">
        <v>1</v>
      </c>
      <c r="AC12" s="123"/>
      <c r="AD12" s="4"/>
      <c r="AE12" s="4"/>
      <c r="AF12" s="4"/>
      <c r="AG12" s="4"/>
      <c r="AH12" s="4"/>
      <c r="AI12" s="4"/>
      <c r="AJ12" s="4"/>
      <c r="AK12" s="4" t="str">
        <f>"    " &amp; TEXT(AB12,"#0.00%") &amp; " " &amp; "설계" &amp; " " &amp; IF(M12="","",TEXT(M12,"M/D-")) &amp; IF(N12="","",TEXT(N12,"M/D")) &amp; " "</f>
        <v xml:space="preserve">    100.00% 설계 2/13-3/13 </v>
      </c>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row>
    <row r="13" spans="1:189" ht="13.2" outlineLevel="2">
      <c r="A13" s="116"/>
      <c r="B13" s="116" t="s">
        <v>996</v>
      </c>
      <c r="C13" s="116">
        <v>3</v>
      </c>
      <c r="D13" s="3" t="s">
        <v>429</v>
      </c>
      <c r="E13" s="184"/>
      <c r="F13" s="184"/>
      <c r="G13" s="216" t="s">
        <v>1119</v>
      </c>
      <c r="H13" s="184"/>
      <c r="I13" s="184"/>
      <c r="J13" s="184"/>
      <c r="K13" s="184"/>
      <c r="L13" s="184"/>
      <c r="M13" s="185">
        <v>43509</v>
      </c>
      <c r="N13" s="185">
        <v>43524</v>
      </c>
      <c r="O13" s="186"/>
      <c r="P13" s="187">
        <v>12</v>
      </c>
      <c r="Q13" s="187">
        <v>12</v>
      </c>
      <c r="R13" s="188">
        <v>12</v>
      </c>
      <c r="S13" s="188">
        <v>12</v>
      </c>
      <c r="T13" s="185"/>
      <c r="U13" s="185"/>
      <c r="V13" s="189">
        <v>0</v>
      </c>
      <c r="W13" s="190">
        <v>0</v>
      </c>
      <c r="X13" s="191"/>
      <c r="Y13" s="186"/>
      <c r="Z13" s="192"/>
      <c r="AA13" s="97">
        <v>1</v>
      </c>
      <c r="AB13" s="193">
        <v>1</v>
      </c>
      <c r="AC13" s="123"/>
      <c r="AD13" s="4"/>
      <c r="AE13" s="4"/>
      <c r="AF13" s="4"/>
      <c r="AG13" s="4"/>
      <c r="AH13" s="4"/>
      <c r="AI13" s="4" t="str">
        <f>"     " &amp; TEXT(AB13,"#0.00%") &amp; " " &amp; "인프라 구축" &amp; " " &amp; IF(M13="","",TEXT(M13,"M/D-")) &amp; IF(N13="","",TEXT(N13,"M/D")) &amp; " "</f>
        <v xml:space="preserve">     100.00% 인프라 구축 2/13-2/28 </v>
      </c>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row>
    <row r="14" spans="1:189" ht="13.2" outlineLevel="3">
      <c r="A14" s="116"/>
      <c r="B14" s="116"/>
      <c r="C14" s="116">
        <v>4</v>
      </c>
      <c r="D14" s="3" t="s">
        <v>1130</v>
      </c>
      <c r="E14" s="184"/>
      <c r="F14" s="184"/>
      <c r="G14" s="216"/>
      <c r="H14" s="184" t="s">
        <v>1120</v>
      </c>
      <c r="I14" s="184"/>
      <c r="J14" s="184"/>
      <c r="K14" s="184"/>
      <c r="L14" s="184"/>
      <c r="M14" s="185">
        <v>43509</v>
      </c>
      <c r="N14" s="185">
        <v>43514</v>
      </c>
      <c r="O14" s="186"/>
      <c r="P14" s="187">
        <v>4</v>
      </c>
      <c r="Q14" s="187">
        <v>4</v>
      </c>
      <c r="R14" s="188">
        <v>4</v>
      </c>
      <c r="S14" s="188">
        <v>4</v>
      </c>
      <c r="T14" s="185"/>
      <c r="U14" s="185"/>
      <c r="V14" s="189"/>
      <c r="W14" s="190">
        <v>0</v>
      </c>
      <c r="X14" s="191">
        <v>1</v>
      </c>
      <c r="Y14" s="186"/>
      <c r="Z14" s="192"/>
      <c r="AA14" s="97">
        <v>1</v>
      </c>
      <c r="AB14" s="193">
        <v>1</v>
      </c>
      <c r="AC14" s="123"/>
      <c r="AD14" s="4"/>
      <c r="AE14" s="4"/>
      <c r="AF14" s="4"/>
      <c r="AG14" s="4"/>
      <c r="AH14" s="4" t="str">
        <f>"  " &amp; TEXT(AB14,"#0.00%") &amp; " " &amp; "EC2 ubuntu" &amp; " " &amp; IF(M14="","",TEXT(M14,"M/D-")) &amp; IF(N14="","",TEXT(N14,"M/D")) &amp; " "</f>
        <v xml:space="preserve">  100.00% EC2 ubuntu 2/13-2/18 </v>
      </c>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row>
    <row r="15" spans="1:189" ht="13.2" outlineLevel="3">
      <c r="A15" s="116"/>
      <c r="B15" s="116"/>
      <c r="C15" s="116">
        <v>4</v>
      </c>
      <c r="D15" s="3" t="s">
        <v>1131</v>
      </c>
      <c r="E15" s="184"/>
      <c r="F15" s="184"/>
      <c r="G15" s="216"/>
      <c r="H15" s="184" t="s">
        <v>1121</v>
      </c>
      <c r="I15" s="184"/>
      <c r="J15" s="184"/>
      <c r="K15" s="184"/>
      <c r="L15" s="184"/>
      <c r="M15" s="185">
        <v>43515</v>
      </c>
      <c r="N15" s="185">
        <v>43518</v>
      </c>
      <c r="O15" s="186"/>
      <c r="P15" s="187">
        <v>4</v>
      </c>
      <c r="Q15" s="187">
        <v>4</v>
      </c>
      <c r="R15" s="188">
        <v>4</v>
      </c>
      <c r="S15" s="188">
        <v>4</v>
      </c>
      <c r="T15" s="185"/>
      <c r="U15" s="185"/>
      <c r="V15" s="189"/>
      <c r="W15" s="190">
        <v>0</v>
      </c>
      <c r="X15" s="191">
        <v>1</v>
      </c>
      <c r="Y15" s="186"/>
      <c r="Z15" s="192"/>
      <c r="AA15" s="97">
        <v>1</v>
      </c>
      <c r="AB15" s="193">
        <v>1</v>
      </c>
      <c r="AC15" s="123"/>
      <c r="AD15" s="4"/>
      <c r="AE15" s="4"/>
      <c r="AF15" s="4"/>
      <c r="AG15" s="4"/>
      <c r="AH15" s="4" t="str">
        <f>"      " &amp; TEXT(AB15,"#0.00%") &amp; " " &amp; "RDS mariadb" &amp; " " &amp; IF(M15="","",TEXT(M15,"M/D-")) &amp; IF(N15="","",TEXT(N15,"M/D")) &amp; " "</f>
        <v xml:space="preserve">      100.00% RDS mariadb 2/19-2/22 </v>
      </c>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row>
    <row r="16" spans="1:189" ht="13.2" outlineLevel="3">
      <c r="A16" s="116"/>
      <c r="B16" s="116"/>
      <c r="C16" s="116">
        <v>4</v>
      </c>
      <c r="D16" s="3" t="s">
        <v>1132</v>
      </c>
      <c r="E16" s="184"/>
      <c r="F16" s="184"/>
      <c r="G16" s="216"/>
      <c r="H16" s="184" t="s">
        <v>1122</v>
      </c>
      <c r="I16" s="184"/>
      <c r="J16" s="184"/>
      <c r="K16" s="184"/>
      <c r="L16" s="184"/>
      <c r="M16" s="185">
        <v>43519</v>
      </c>
      <c r="N16" s="185">
        <v>43524</v>
      </c>
      <c r="O16" s="186"/>
      <c r="P16" s="187">
        <v>4</v>
      </c>
      <c r="Q16" s="187">
        <v>4</v>
      </c>
      <c r="R16" s="188">
        <v>4</v>
      </c>
      <c r="S16" s="188">
        <v>4</v>
      </c>
      <c r="T16" s="185"/>
      <c r="U16" s="185"/>
      <c r="V16" s="189"/>
      <c r="W16" s="190">
        <v>0</v>
      </c>
      <c r="X16" s="191">
        <v>1</v>
      </c>
      <c r="Y16" s="186"/>
      <c r="Z16" s="192"/>
      <c r="AA16" s="97">
        <v>1</v>
      </c>
      <c r="AB16" s="193">
        <v>1</v>
      </c>
      <c r="AC16" s="123"/>
      <c r="AD16" s="4"/>
      <c r="AE16" s="4"/>
      <c r="AF16" s="4"/>
      <c r="AG16" s="4"/>
      <c r="AH16" s="4"/>
      <c r="AI16" s="4" t="str">
        <f>"     " &amp; TEXT(AB16,"#0.00%") &amp; " " &amp; "S3file storage" &amp; " " &amp; IF(M16="","",TEXT(M16,"M/D-")) &amp; IF(N16="","",TEXT(N16,"M/D")) &amp; " "</f>
        <v xml:space="preserve">     100.00% S3file storage 2/23-2/28 </v>
      </c>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row>
    <row r="17" spans="1:189" ht="13.2" outlineLevel="2">
      <c r="A17" s="116"/>
      <c r="B17" s="116"/>
      <c r="C17" s="116">
        <v>3</v>
      </c>
      <c r="D17" s="3" t="s">
        <v>430</v>
      </c>
      <c r="E17" s="184"/>
      <c r="F17" s="184"/>
      <c r="G17" s="216" t="s">
        <v>1084</v>
      </c>
      <c r="H17" s="184"/>
      <c r="I17" s="184"/>
      <c r="J17" s="184"/>
      <c r="K17" s="184"/>
      <c r="L17" s="184"/>
      <c r="M17" s="185">
        <v>43509</v>
      </c>
      <c r="N17" s="185">
        <v>43524</v>
      </c>
      <c r="O17" s="186"/>
      <c r="P17" s="187">
        <v>36</v>
      </c>
      <c r="Q17" s="187">
        <v>36</v>
      </c>
      <c r="R17" s="188">
        <v>12</v>
      </c>
      <c r="S17" s="188">
        <v>12</v>
      </c>
      <c r="T17" s="185"/>
      <c r="U17" s="185"/>
      <c r="V17" s="189"/>
      <c r="W17" s="190">
        <v>0</v>
      </c>
      <c r="X17" s="191">
        <v>3</v>
      </c>
      <c r="Y17" s="186"/>
      <c r="Z17" s="192"/>
      <c r="AA17" s="97">
        <v>1</v>
      </c>
      <c r="AB17" s="193">
        <v>1</v>
      </c>
      <c r="AC17" s="123"/>
      <c r="AD17" s="4"/>
      <c r="AE17" s="4"/>
      <c r="AF17" s="4"/>
      <c r="AG17" s="4"/>
      <c r="AH17" s="4"/>
      <c r="AI17" s="4" t="str">
        <f>"     " &amp; TEXT(AB17,"#0.00%") &amp; " " &amp; "프로그램 설계" &amp; " " &amp; IF(M17="","",TEXT(M17,"M/D-")) &amp; IF(N17="","",TEXT(N17,"M/D")) &amp; " "</f>
        <v xml:space="preserve">     100.00% 프로그램 설계 2/13-2/28 </v>
      </c>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row>
    <row r="18" spans="1:189" outlineLevel="2">
      <c r="A18" s="116"/>
      <c r="B18" s="116"/>
      <c r="C18" s="116">
        <v>3</v>
      </c>
      <c r="D18" s="3" t="s">
        <v>431</v>
      </c>
      <c r="E18" s="184"/>
      <c r="F18" s="184"/>
      <c r="G18" s="184" t="s">
        <v>1083</v>
      </c>
      <c r="H18" s="184"/>
      <c r="I18" s="184"/>
      <c r="J18" s="184"/>
      <c r="K18" s="184"/>
      <c r="L18" s="184"/>
      <c r="M18" s="185">
        <v>43518</v>
      </c>
      <c r="N18" s="185">
        <v>43530</v>
      </c>
      <c r="O18" s="186"/>
      <c r="P18" s="187">
        <v>16</v>
      </c>
      <c r="Q18" s="187">
        <v>16</v>
      </c>
      <c r="R18" s="188">
        <v>8</v>
      </c>
      <c r="S18" s="188">
        <v>8</v>
      </c>
      <c r="T18" s="185"/>
      <c r="U18" s="185"/>
      <c r="V18" s="189"/>
      <c r="W18" s="190">
        <v>0</v>
      </c>
      <c r="X18" s="191">
        <v>2</v>
      </c>
      <c r="Y18" s="186"/>
      <c r="Z18" s="192"/>
      <c r="AA18" s="97">
        <v>1</v>
      </c>
      <c r="AB18" s="193">
        <v>1</v>
      </c>
      <c r="AC18" s="123"/>
      <c r="AD18" s="4"/>
      <c r="AE18" s="4"/>
      <c r="AF18" s="4"/>
      <c r="AG18" s="4"/>
      <c r="AH18" s="4"/>
      <c r="AI18" s="4"/>
      <c r="AJ18" s="4" t="str">
        <f>"    " &amp; TEXT(AB18,"#0.00%") &amp; " " &amp; "DB 설계" &amp; " " &amp; IF(M18="","",TEXT(M18,"M/D-")) &amp; IF(N18="","",TEXT(N18,"M/D")) &amp; " "</f>
        <v xml:space="preserve">    100.00% DB 설계 2/22-3/6 </v>
      </c>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row>
    <row r="19" spans="1:189" outlineLevel="2">
      <c r="A19" s="116"/>
      <c r="B19" s="116"/>
      <c r="C19" s="116">
        <v>3</v>
      </c>
      <c r="D19" s="3" t="s">
        <v>432</v>
      </c>
      <c r="E19" s="184"/>
      <c r="F19" s="184"/>
      <c r="G19" s="218" t="s">
        <v>1123</v>
      </c>
      <c r="H19" s="218"/>
      <c r="I19" s="218"/>
      <c r="J19" s="218"/>
      <c r="K19" s="218"/>
      <c r="L19" s="218"/>
      <c r="M19" s="220">
        <v>43511</v>
      </c>
      <c r="N19" s="220">
        <v>43537</v>
      </c>
      <c r="O19" s="221"/>
      <c r="P19" s="223">
        <v>72</v>
      </c>
      <c r="Q19" s="223">
        <v>72</v>
      </c>
      <c r="R19" s="221">
        <v>18</v>
      </c>
      <c r="S19" s="221">
        <v>18</v>
      </c>
      <c r="T19" s="221"/>
      <c r="U19" s="221"/>
      <c r="V19" s="221"/>
      <c r="W19" s="221">
        <v>0</v>
      </c>
      <c r="X19" s="221">
        <v>4</v>
      </c>
      <c r="Y19" s="221"/>
      <c r="Z19" s="221"/>
      <c r="AA19" s="222">
        <v>1</v>
      </c>
      <c r="AB19" s="222">
        <v>1</v>
      </c>
      <c r="AC19" s="123"/>
      <c r="AD19" s="4"/>
      <c r="AE19" s="4"/>
      <c r="AF19" s="4"/>
      <c r="AG19" s="4"/>
      <c r="AH19" s="4"/>
      <c r="AI19" s="4"/>
      <c r="AJ19" s="4"/>
      <c r="AK19" s="4" t="str">
        <f>"    " &amp; TEXT(AB19,"#0.00%") &amp; " " &amp; "스토리보드 설계" &amp; " " &amp; IF(M19="","",TEXT(M19,"M/D-")) &amp; IF(N19="","",TEXT(N19,"M/D")) &amp; " "</f>
        <v xml:space="preserve">    100.00% 스토리보드 설계 2/15-3/13 </v>
      </c>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row>
    <row r="20" spans="1:189" ht="13.2" outlineLevel="2">
      <c r="A20" s="116"/>
      <c r="B20" s="116"/>
      <c r="C20" s="116">
        <v>3</v>
      </c>
      <c r="D20" s="3" t="s">
        <v>1133</v>
      </c>
      <c r="E20" s="184"/>
      <c r="F20" s="184"/>
      <c r="G20" s="216" t="s">
        <v>1085</v>
      </c>
      <c r="H20" s="184"/>
      <c r="I20" s="184"/>
      <c r="J20" s="184"/>
      <c r="K20" s="184"/>
      <c r="L20" s="184"/>
      <c r="M20" s="185">
        <v>43518</v>
      </c>
      <c r="N20" s="185">
        <v>43537</v>
      </c>
      <c r="O20" s="186"/>
      <c r="P20" s="187">
        <v>39</v>
      </c>
      <c r="Q20" s="187">
        <v>39</v>
      </c>
      <c r="R20" s="188">
        <v>13</v>
      </c>
      <c r="S20" s="188">
        <v>13</v>
      </c>
      <c r="T20" s="185"/>
      <c r="U20" s="185"/>
      <c r="V20" s="189"/>
      <c r="W20" s="190">
        <v>0</v>
      </c>
      <c r="X20" s="191">
        <v>3</v>
      </c>
      <c r="Y20" s="186"/>
      <c r="Z20" s="192"/>
      <c r="AA20" s="97">
        <v>1</v>
      </c>
      <c r="AB20" s="193">
        <v>1</v>
      </c>
      <c r="AC20" s="123"/>
      <c r="AD20" s="4"/>
      <c r="AE20" s="4"/>
      <c r="AF20" s="4"/>
      <c r="AG20" s="4"/>
      <c r="AH20" s="4"/>
      <c r="AI20" s="4"/>
      <c r="AJ20" s="4"/>
      <c r="AK20" s="4" t="str">
        <f>"    " &amp; TEXT(AB20,"#0.00%") &amp; " " &amp; "화면정의서 작성" &amp; " " &amp; IF(M20="","",TEXT(M20,"M/D-")) &amp; IF(N20="","",TEXT(N20,"M/D")) &amp; " "</f>
        <v xml:space="preserve">    100.00% 화면정의서 작성 2/22-3/13 </v>
      </c>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row>
    <row r="21" spans="1:189" ht="13.2" outlineLevel="1">
      <c r="A21" s="116"/>
      <c r="B21" s="116" t="s">
        <v>996</v>
      </c>
      <c r="C21" s="116">
        <v>2</v>
      </c>
      <c r="D21" s="3" t="s">
        <v>1134</v>
      </c>
      <c r="E21" s="184"/>
      <c r="F21" s="216" t="s">
        <v>978</v>
      </c>
      <c r="G21" s="218"/>
      <c r="H21" s="184"/>
      <c r="I21" s="184"/>
      <c r="J21" s="184"/>
      <c r="K21" s="184"/>
      <c r="L21" s="184"/>
      <c r="M21" s="185">
        <v>43537</v>
      </c>
      <c r="N21" s="185">
        <v>43634</v>
      </c>
      <c r="O21" s="186"/>
      <c r="P21" s="187">
        <v>327</v>
      </c>
      <c r="Q21" s="187">
        <v>20</v>
      </c>
      <c r="R21" s="188">
        <v>68</v>
      </c>
      <c r="S21" s="188">
        <v>3</v>
      </c>
      <c r="T21" s="185"/>
      <c r="U21" s="185"/>
      <c r="V21" s="189">
        <v>0</v>
      </c>
      <c r="W21" s="190">
        <v>0</v>
      </c>
      <c r="X21" s="191"/>
      <c r="Y21" s="186"/>
      <c r="Z21" s="218"/>
      <c r="AA21" s="97">
        <v>6.1162079510703363E-2</v>
      </c>
      <c r="AB21" s="193">
        <v>9.7859327217125393E-3</v>
      </c>
      <c r="AC21" s="123"/>
      <c r="AD21" s="4"/>
      <c r="AE21" s="4"/>
      <c r="AF21" s="4"/>
      <c r="AG21" s="4"/>
      <c r="AH21" s="4"/>
      <c r="AI21" s="4"/>
      <c r="AJ21" s="4"/>
      <c r="AK21" s="4" t="str">
        <f>"    " &amp; TEXT(AB21,"#0.00%") &amp; " "</f>
        <v xml:space="preserve">    0.98% </v>
      </c>
      <c r="AL21" s="4"/>
      <c r="AM21" s="4"/>
      <c r="AN21" s="4"/>
      <c r="AO21" s="4"/>
      <c r="AP21" s="4"/>
      <c r="AQ21" s="4"/>
      <c r="AR21" s="4"/>
      <c r="AS21" s="4"/>
      <c r="AT21" s="4"/>
      <c r="AU21" s="4"/>
      <c r="AV21" s="4"/>
      <c r="AW21" s="4"/>
      <c r="AX21" s="4"/>
      <c r="AY21" s="4" t="str">
        <f>"   " &amp; "개발" &amp; " " &amp; IF(M21="","",TEXT(M21,"M/D-")) &amp; IF(N21="","",TEXT(N21,"M/D")) &amp; " "</f>
        <v xml:space="preserve">   개발 3/13-6/18 </v>
      </c>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row>
    <row r="22" spans="1:189" outlineLevel="2">
      <c r="A22" s="116"/>
      <c r="B22" s="116" t="s">
        <v>996</v>
      </c>
      <c r="C22" s="116">
        <v>3</v>
      </c>
      <c r="D22" s="3" t="s">
        <v>433</v>
      </c>
      <c r="E22" s="184"/>
      <c r="F22" s="184"/>
      <c r="G22" s="218" t="s">
        <v>1099</v>
      </c>
      <c r="H22" s="184"/>
      <c r="I22" s="184"/>
      <c r="J22" s="184"/>
      <c r="K22" s="184"/>
      <c r="L22" s="184"/>
      <c r="M22" s="185">
        <v>43537</v>
      </c>
      <c r="N22" s="185">
        <v>43553</v>
      </c>
      <c r="O22" s="188"/>
      <c r="P22" s="187">
        <v>112</v>
      </c>
      <c r="Q22" s="187">
        <v>17</v>
      </c>
      <c r="R22" s="188">
        <v>13</v>
      </c>
      <c r="S22" s="188">
        <v>3</v>
      </c>
      <c r="T22" s="185"/>
      <c r="U22" s="185"/>
      <c r="V22" s="189">
        <v>0</v>
      </c>
      <c r="W22" s="190">
        <v>0</v>
      </c>
      <c r="X22" s="191"/>
      <c r="Y22" s="186"/>
      <c r="Z22" s="192"/>
      <c r="AA22" s="97">
        <v>0.15178571428571427</v>
      </c>
      <c r="AB22" s="193">
        <v>2.8571428571428574E-2</v>
      </c>
      <c r="AC22" s="123"/>
      <c r="AD22" s="4"/>
      <c r="AE22" s="4"/>
      <c r="AF22" s="4"/>
      <c r="AG22" s="4"/>
      <c r="AH22" s="4"/>
      <c r="AI22" s="4"/>
      <c r="AJ22" s="4"/>
      <c r="AK22" s="4" t="str">
        <f>"   " &amp; TEXT(AB22,"#0.00%") &amp; " " &amp; "에디터 구현" &amp; " " &amp; IF(M22="","",TEXT(M22,"M/D-")) &amp; IF(N22="","",TEXT(N22,"M/D")) &amp; " "</f>
        <v xml:space="preserve">   2.86% 에디터 구현 3/13-3/29 </v>
      </c>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row>
    <row r="23" spans="1:189" ht="13.2" outlineLevel="3">
      <c r="A23" s="116"/>
      <c r="B23" s="116" t="s">
        <v>996</v>
      </c>
      <c r="C23" s="116">
        <v>4</v>
      </c>
      <c r="D23" s="3" t="s">
        <v>1146</v>
      </c>
      <c r="E23" s="184"/>
      <c r="F23" s="184"/>
      <c r="G23" s="218"/>
      <c r="H23" s="216" t="s">
        <v>1152</v>
      </c>
      <c r="I23" s="184"/>
      <c r="J23" s="184"/>
      <c r="K23" s="184"/>
      <c r="L23" s="184"/>
      <c r="M23" s="185">
        <v>43538</v>
      </c>
      <c r="N23" s="185">
        <v>43553</v>
      </c>
      <c r="O23" s="188"/>
      <c r="P23" s="187">
        <v>50</v>
      </c>
      <c r="Q23" s="187">
        <v>5</v>
      </c>
      <c r="R23" s="188">
        <v>12</v>
      </c>
      <c r="S23" s="188">
        <v>2</v>
      </c>
      <c r="T23" s="185"/>
      <c r="U23" s="185"/>
      <c r="V23" s="189">
        <v>0</v>
      </c>
      <c r="W23" s="190">
        <v>0</v>
      </c>
      <c r="X23" s="191"/>
      <c r="Y23" s="186"/>
      <c r="Z23" s="192"/>
      <c r="AA23" s="97">
        <v>0.1</v>
      </c>
      <c r="AB23" s="193">
        <v>6.4000000000000001E-2</v>
      </c>
      <c r="AC23" s="123"/>
      <c r="AD23" s="4"/>
      <c r="AE23" s="4"/>
      <c r="AF23" s="4"/>
      <c r="AG23" s="4"/>
      <c r="AH23" s="4"/>
      <c r="AI23" s="4"/>
      <c r="AJ23" s="4"/>
      <c r="AK23" s="4" t="str">
        <f>"     " &amp; TEXT(AB23,"#0.00%") &amp; " " &amp; "백엔드" &amp; " " &amp; IF(M23="","",TEXT(M23,"M/D-")) &amp; IF(N23="","",TEXT(N23,"M/D")) &amp; " "</f>
        <v xml:space="preserve">     6.40% 백엔드 3/14-3/29 </v>
      </c>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row>
    <row r="24" spans="1:189" ht="13.2" outlineLevel="4">
      <c r="A24" s="116"/>
      <c r="B24" s="116"/>
      <c r="C24" s="116">
        <v>5</v>
      </c>
      <c r="D24" s="3" t="s">
        <v>1156</v>
      </c>
      <c r="E24" s="184"/>
      <c r="F24" s="184"/>
      <c r="G24" s="216"/>
      <c r="H24" s="184"/>
      <c r="I24" s="184" t="s">
        <v>1154</v>
      </c>
      <c r="J24" s="184"/>
      <c r="K24" s="184"/>
      <c r="L24" s="184"/>
      <c r="M24" s="185">
        <v>43538</v>
      </c>
      <c r="N24" s="185">
        <v>43538</v>
      </c>
      <c r="O24" s="188"/>
      <c r="P24" s="187">
        <v>1</v>
      </c>
      <c r="Q24" s="187">
        <v>1</v>
      </c>
      <c r="R24" s="188">
        <v>1</v>
      </c>
      <c r="S24" s="188">
        <v>1</v>
      </c>
      <c r="T24" s="185"/>
      <c r="U24" s="185"/>
      <c r="V24" s="189"/>
      <c r="W24" s="190">
        <v>0</v>
      </c>
      <c r="X24" s="191">
        <v>1</v>
      </c>
      <c r="Y24" s="229" t="s">
        <v>1228</v>
      </c>
      <c r="Z24" s="192"/>
      <c r="AA24" s="97">
        <v>1</v>
      </c>
      <c r="AB24" s="193">
        <v>1</v>
      </c>
      <c r="AC24" s="123"/>
      <c r="AD24" s="4"/>
      <c r="AE24" s="4"/>
      <c r="AF24" s="4"/>
      <c r="AG24" s="4"/>
      <c r="AH24" s="4"/>
      <c r="AI24" s="4"/>
      <c r="AJ24" s="4"/>
      <c r="AK24" s="4" t="str">
        <f>"     " &amp; TEXT(AB24,"#0.00%") &amp; " " &amp; "로그인 기능 구현" &amp; "(임홍기)" &amp; " " &amp; IF(M24="","",TEXT(M24,"M/D-")) &amp; IF(N24="","",TEXT(N24,"M/D")) &amp; " "</f>
        <v xml:space="preserve">     100.00% 로그인 기능 구현(임홍기) 3/14-3/14 </v>
      </c>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row>
    <row r="25" spans="1:189" ht="13.2" outlineLevel="4">
      <c r="A25" s="116"/>
      <c r="B25" s="116"/>
      <c r="C25" s="116">
        <v>5</v>
      </c>
      <c r="D25" s="3" t="s">
        <v>1157</v>
      </c>
      <c r="E25" s="184"/>
      <c r="F25" s="184"/>
      <c r="G25" s="218"/>
      <c r="H25" s="184"/>
      <c r="I25" s="216" t="s">
        <v>1118</v>
      </c>
      <c r="J25" s="184"/>
      <c r="K25" s="184"/>
      <c r="L25" s="184"/>
      <c r="M25" s="185">
        <v>43539</v>
      </c>
      <c r="N25" s="185">
        <v>43553</v>
      </c>
      <c r="O25" s="185"/>
      <c r="P25" s="187">
        <v>22</v>
      </c>
      <c r="Q25" s="187">
        <v>2</v>
      </c>
      <c r="R25" s="188">
        <v>11</v>
      </c>
      <c r="S25" s="188">
        <v>1</v>
      </c>
      <c r="T25" s="185"/>
      <c r="U25" s="185"/>
      <c r="V25" s="189"/>
      <c r="W25" s="190">
        <v>0</v>
      </c>
      <c r="X25" s="191">
        <v>2</v>
      </c>
      <c r="Y25" s="229" t="s">
        <v>1243</v>
      </c>
      <c r="Z25" s="192"/>
      <c r="AA25" s="97">
        <v>9.0909090909090912E-2</v>
      </c>
      <c r="AB25" s="193">
        <v>0.05</v>
      </c>
      <c r="AC25" s="123"/>
      <c r="AD25" s="4"/>
      <c r="AE25" s="4"/>
      <c r="AF25" s="4"/>
      <c r="AG25" s="4"/>
      <c r="AH25" s="4"/>
      <c r="AI25" s="4"/>
      <c r="AJ25" s="4"/>
      <c r="AK25" s="4" t="str">
        <f>"      " &amp; TEXT(AB25,"#0.00%") &amp; " " &amp; "파일 변환 기능" &amp; "(임홍기, 김은채, 박형진)" &amp; " " &amp; IF(M25="","",TEXT(M25,"M/D-")) &amp; IF(N25="","",TEXT(N25,"M/D")) &amp; " "</f>
        <v xml:space="preserve">      5.00% 파일 변환 기능(임홍기, 김은채, 박형진) 3/15-3/29 </v>
      </c>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row>
    <row r="26" spans="1:189" ht="13.2" outlineLevel="4">
      <c r="A26" s="116"/>
      <c r="B26" s="116"/>
      <c r="C26" s="116">
        <v>5</v>
      </c>
      <c r="D26" s="3" t="s">
        <v>1158</v>
      </c>
      <c r="E26" s="184"/>
      <c r="F26" s="184"/>
      <c r="G26" s="216"/>
      <c r="H26" s="184"/>
      <c r="I26" s="216" t="s">
        <v>1148</v>
      </c>
      <c r="J26" s="184"/>
      <c r="K26" s="184"/>
      <c r="L26" s="184"/>
      <c r="M26" s="185">
        <v>43539</v>
      </c>
      <c r="N26" s="185">
        <v>43553</v>
      </c>
      <c r="O26" s="188"/>
      <c r="P26" s="187">
        <v>22</v>
      </c>
      <c r="Q26" s="187">
        <v>2</v>
      </c>
      <c r="R26" s="188">
        <v>11</v>
      </c>
      <c r="S26" s="188">
        <v>1</v>
      </c>
      <c r="T26" s="185"/>
      <c r="U26" s="185"/>
      <c r="V26" s="189"/>
      <c r="W26" s="190">
        <v>0</v>
      </c>
      <c r="X26" s="191">
        <v>2</v>
      </c>
      <c r="Y26" s="229" t="s">
        <v>1243</v>
      </c>
      <c r="Z26" s="192"/>
      <c r="AA26" s="97">
        <v>9.0909090909090912E-2</v>
      </c>
      <c r="AB26" s="193">
        <v>0.05</v>
      </c>
      <c r="AC26" s="123"/>
      <c r="AD26" s="4"/>
      <c r="AE26" s="4"/>
      <c r="AF26" s="4"/>
      <c r="AG26" s="4"/>
      <c r="AH26" s="4"/>
      <c r="AI26" s="4"/>
      <c r="AJ26" s="4"/>
      <c r="AK26" s="4" t="str">
        <f>"      " &amp; TEXT(AB26,"#0.00%") &amp; " " &amp; "리소스 관리(s3)" &amp; "(임홍기, 김은채, 박형진)" &amp; " " &amp; IF(M26="","",TEXT(M26,"M/D-")) &amp; IF(N26="","",TEXT(N26,"M/D")) &amp; " "</f>
        <v xml:space="preserve">      5.00% 리소스 관리(s3)(임홍기, 김은채, 박형진) 3/15-3/29 </v>
      </c>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row>
    <row r="27" spans="1:189" ht="13.2" outlineLevel="4">
      <c r="A27" s="116"/>
      <c r="B27" s="116"/>
      <c r="C27" s="116">
        <v>5</v>
      </c>
      <c r="D27" s="3" t="s">
        <v>1186</v>
      </c>
      <c r="E27" s="184"/>
      <c r="F27" s="184"/>
      <c r="G27" s="184"/>
      <c r="H27" s="184"/>
      <c r="I27" s="184" t="s">
        <v>1181</v>
      </c>
      <c r="J27" s="184"/>
      <c r="K27" s="184"/>
      <c r="L27" s="184"/>
      <c r="M27" s="185">
        <v>43540</v>
      </c>
      <c r="N27" s="185">
        <v>43547</v>
      </c>
      <c r="O27" s="188"/>
      <c r="P27" s="187">
        <v>5</v>
      </c>
      <c r="Q27" s="187">
        <v>0</v>
      </c>
      <c r="R27" s="188">
        <v>5</v>
      </c>
      <c r="S27" s="188">
        <v>0</v>
      </c>
      <c r="T27" s="185"/>
      <c r="U27" s="185"/>
      <c r="V27" s="189"/>
      <c r="W27" s="190">
        <v>0</v>
      </c>
      <c r="X27" s="191">
        <v>1</v>
      </c>
      <c r="Y27" s="229" t="s">
        <v>1229</v>
      </c>
      <c r="Z27" s="192"/>
      <c r="AA27" s="97">
        <v>0</v>
      </c>
      <c r="AB27" s="193">
        <v>0</v>
      </c>
      <c r="AC27" s="123"/>
      <c r="AD27" s="4"/>
      <c r="AE27" s="4"/>
      <c r="AF27" s="4"/>
      <c r="AG27" s="4"/>
      <c r="AH27" s="4"/>
      <c r="AI27" s="4"/>
      <c r="AJ27" s="4"/>
      <c r="AK27" s="4" t="str">
        <f>"      " &amp; TEXT(AB27,"#0.00%") &amp; " " &amp; "채팅방 구현" &amp; "(박형진)" &amp; " " &amp; IF(M27="","",TEXT(M27,"M/D-")) &amp; IF(N27="","",TEXT(N27,"M/D")) &amp; " "</f>
        <v xml:space="preserve">      0.00% 채팅방 구현(박형진) 3/16-3/23 </v>
      </c>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row>
    <row r="28" spans="1:189" ht="13.2" outlineLevel="3">
      <c r="A28" s="116"/>
      <c r="B28" s="116" t="s">
        <v>996</v>
      </c>
      <c r="C28" s="116">
        <v>4</v>
      </c>
      <c r="D28" s="3" t="s">
        <v>1147</v>
      </c>
      <c r="E28" s="184"/>
      <c r="F28" s="184"/>
      <c r="G28" s="216"/>
      <c r="H28" s="216" t="s">
        <v>1153</v>
      </c>
      <c r="I28" s="184"/>
      <c r="J28" s="184"/>
      <c r="K28" s="184"/>
      <c r="L28" s="184"/>
      <c r="M28" s="185">
        <v>43537</v>
      </c>
      <c r="N28" s="185">
        <v>43553</v>
      </c>
      <c r="O28" s="188"/>
      <c r="P28" s="187">
        <v>62</v>
      </c>
      <c r="Q28" s="187">
        <v>12</v>
      </c>
      <c r="R28" s="188">
        <v>13</v>
      </c>
      <c r="S28" s="188">
        <v>3</v>
      </c>
      <c r="T28" s="185"/>
      <c r="U28" s="185"/>
      <c r="V28" s="189">
        <v>0</v>
      </c>
      <c r="W28" s="190">
        <v>0</v>
      </c>
      <c r="X28" s="191"/>
      <c r="Y28" s="186"/>
      <c r="Z28" s="192"/>
      <c r="AA28" s="97">
        <v>0.19354838709677419</v>
      </c>
      <c r="AB28" s="193">
        <v>0</v>
      </c>
      <c r="AC28" s="123"/>
      <c r="AD28" s="4"/>
      <c r="AE28" s="4"/>
      <c r="AF28" s="4"/>
      <c r="AG28" s="4"/>
      <c r="AH28" s="4"/>
      <c r="AI28" s="4"/>
      <c r="AJ28" s="4"/>
      <c r="AK28" s="4" t="str">
        <f>"   " &amp; TEXT(AB28,"#0.00%") &amp; " " &amp; "프론트엔드" &amp; " " &amp; IF(M28="","",TEXT(M28,"M/D-")) &amp; IF(N28="","",TEXT(N28,"M/D")) &amp; " "</f>
        <v xml:space="preserve">   0.00% 프론트엔드 3/13-3/29 </v>
      </c>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row>
    <row r="29" spans="1:189" ht="13.2" outlineLevel="4">
      <c r="A29" s="116"/>
      <c r="B29" s="116"/>
      <c r="C29" s="116">
        <v>5</v>
      </c>
      <c r="D29" s="3" t="s">
        <v>1159</v>
      </c>
      <c r="E29" s="184"/>
      <c r="F29" s="184"/>
      <c r="G29" s="216"/>
      <c r="H29" s="184"/>
      <c r="I29" s="224" t="s">
        <v>1234</v>
      </c>
      <c r="J29" s="184"/>
      <c r="K29" s="184"/>
      <c r="L29" s="184"/>
      <c r="M29" s="185">
        <v>43537</v>
      </c>
      <c r="N29" s="185">
        <v>43553</v>
      </c>
      <c r="O29" s="188"/>
      <c r="P29" s="187">
        <v>26</v>
      </c>
      <c r="Q29" s="187">
        <v>6</v>
      </c>
      <c r="R29" s="188">
        <v>13</v>
      </c>
      <c r="S29" s="188">
        <v>3</v>
      </c>
      <c r="T29" s="185"/>
      <c r="U29" s="185"/>
      <c r="V29" s="189"/>
      <c r="W29" s="190">
        <v>0</v>
      </c>
      <c r="X29" s="191">
        <v>2</v>
      </c>
      <c r="Y29" s="229" t="s">
        <v>1233</v>
      </c>
      <c r="Z29" s="192"/>
      <c r="AA29" s="97">
        <v>0.23076923076923078</v>
      </c>
      <c r="AB29" s="193">
        <v>0</v>
      </c>
      <c r="AC29" s="123"/>
      <c r="AD29" s="4"/>
      <c r="AE29" s="4"/>
      <c r="AF29" s="4"/>
      <c r="AG29" s="4"/>
      <c r="AH29" s="4"/>
      <c r="AI29" s="4"/>
      <c r="AJ29" s="4"/>
      <c r="AK29" s="4" t="str">
        <f>"   " &amp; TEXT(AB29,"#0.00%") &amp; " " &amp; "에디터 페이지(에디터, 로그인, 리소스 등)" &amp; "(한혜은)" &amp; " " &amp; IF(M29="","",TEXT(M29,"M/D-")) &amp; IF(N29="","",TEXT(N29,"M/D")) &amp; " "</f>
        <v xml:space="preserve">   0.00% 에디터 페이지(에디터, 로그인, 리소스 등)(한혜은) 3/13-3/29 </v>
      </c>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row>
    <row r="30" spans="1:189" ht="13.2" outlineLevel="4">
      <c r="A30" s="116"/>
      <c r="B30" s="116"/>
      <c r="C30" s="116">
        <v>5</v>
      </c>
      <c r="D30" s="3" t="s">
        <v>1160</v>
      </c>
      <c r="E30" s="184"/>
      <c r="F30" s="184"/>
      <c r="G30" s="216"/>
      <c r="H30" s="184"/>
      <c r="I30" s="224" t="s">
        <v>1235</v>
      </c>
      <c r="J30" s="184"/>
      <c r="K30" s="184"/>
      <c r="L30" s="184"/>
      <c r="M30" s="185">
        <v>43540</v>
      </c>
      <c r="N30" s="185">
        <v>43553</v>
      </c>
      <c r="O30" s="188"/>
      <c r="P30" s="187">
        <v>10</v>
      </c>
      <c r="Q30" s="187">
        <v>0</v>
      </c>
      <c r="R30" s="188">
        <v>10</v>
      </c>
      <c r="S30" s="188">
        <v>0</v>
      </c>
      <c r="T30" s="185"/>
      <c r="U30" s="185"/>
      <c r="V30" s="189"/>
      <c r="W30" s="190">
        <v>0</v>
      </c>
      <c r="X30" s="191">
        <v>1</v>
      </c>
      <c r="Y30" s="229" t="s">
        <v>1232</v>
      </c>
      <c r="Z30" s="192"/>
      <c r="AA30" s="97">
        <v>0</v>
      </c>
      <c r="AB30" s="193">
        <v>0</v>
      </c>
      <c r="AC30" s="123"/>
      <c r="AD30" s="4"/>
      <c r="AE30" s="4"/>
      <c r="AF30" s="4"/>
      <c r="AG30" s="4"/>
      <c r="AH30" s="4"/>
      <c r="AI30" s="4"/>
      <c r="AJ30" s="4"/>
      <c r="AK30" s="4" t="str">
        <f>"      " &amp; TEXT(AB30,"#0.00%") &amp; " " &amp; "에디터 버튼 기능" &amp; "(곽민수)" &amp; " " &amp; IF(M30="","",TEXT(M30,"M/D-")) &amp; IF(N30="","",TEXT(N30,"M/D")) &amp; " "</f>
        <v xml:space="preserve">      0.00% 에디터 버튼 기능(곽민수) 3/16-3/29 </v>
      </c>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row>
    <row r="31" spans="1:189" ht="13.2" outlineLevel="4">
      <c r="A31" s="116"/>
      <c r="B31" s="116"/>
      <c r="C31" s="116">
        <v>5</v>
      </c>
      <c r="D31" s="3" t="s">
        <v>1236</v>
      </c>
      <c r="E31" s="184"/>
      <c r="F31" s="184"/>
      <c r="G31" s="216"/>
      <c r="H31" s="216"/>
      <c r="I31" s="224" t="s">
        <v>1149</v>
      </c>
      <c r="J31" s="184"/>
      <c r="K31" s="184"/>
      <c r="L31" s="184"/>
      <c r="M31" s="185">
        <v>43537</v>
      </c>
      <c r="N31" s="185">
        <v>43553</v>
      </c>
      <c r="O31" s="186"/>
      <c r="P31" s="187">
        <v>26</v>
      </c>
      <c r="Q31" s="187">
        <v>6</v>
      </c>
      <c r="R31" s="188">
        <v>13</v>
      </c>
      <c r="S31" s="188">
        <v>3</v>
      </c>
      <c r="T31" s="185"/>
      <c r="U31" s="185"/>
      <c r="V31" s="189"/>
      <c r="W31" s="190">
        <v>0</v>
      </c>
      <c r="X31" s="191">
        <v>2</v>
      </c>
      <c r="Y31" s="229" t="s">
        <v>1230</v>
      </c>
      <c r="Z31" s="192"/>
      <c r="AA31" s="97">
        <v>0.23076923076923078</v>
      </c>
      <c r="AB31" s="193">
        <v>0</v>
      </c>
      <c r="AC31" s="123"/>
      <c r="AD31" s="4"/>
      <c r="AE31" s="4"/>
      <c r="AF31" s="4"/>
      <c r="AG31" s="4"/>
      <c r="AH31" s="4"/>
      <c r="AI31" s="4"/>
      <c r="AJ31" s="4"/>
      <c r="AK31" s="4" t="str">
        <f>"   " &amp; TEXT(AB31,"#0.00%") &amp; " " &amp; "템플릿 적용" &amp; "(곽민수, 한혜은)" &amp; " " &amp; IF(M31="","",TEXT(M31,"M/D-")) &amp; IF(N31="","",TEXT(N31,"M/D")) &amp; " "</f>
        <v xml:space="preserve">   0.00% 템플릿 적용(곽민수, 한혜은) 3/13-3/29 </v>
      </c>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row>
    <row r="32" spans="1:189" ht="13.2" outlineLevel="2">
      <c r="A32" s="116"/>
      <c r="B32" s="116" t="s">
        <v>996</v>
      </c>
      <c r="C32" s="116">
        <v>3</v>
      </c>
      <c r="D32" s="3" t="s">
        <v>434</v>
      </c>
      <c r="E32" s="184"/>
      <c r="F32" s="184"/>
      <c r="G32" s="216" t="s">
        <v>1095</v>
      </c>
      <c r="H32" s="184"/>
      <c r="I32" s="184"/>
      <c r="J32" s="184"/>
      <c r="K32" s="184"/>
      <c r="L32" s="184"/>
      <c r="M32" s="185">
        <v>43537</v>
      </c>
      <c r="N32" s="185">
        <v>43553</v>
      </c>
      <c r="O32" s="188"/>
      <c r="P32" s="187">
        <v>13</v>
      </c>
      <c r="Q32" s="187">
        <v>3</v>
      </c>
      <c r="R32" s="188">
        <v>13</v>
      </c>
      <c r="S32" s="188">
        <v>3</v>
      </c>
      <c r="T32" s="185"/>
      <c r="U32" s="185"/>
      <c r="V32" s="189">
        <v>0</v>
      </c>
      <c r="W32" s="190">
        <v>0</v>
      </c>
      <c r="X32" s="191"/>
      <c r="Y32" s="186"/>
      <c r="Z32" s="192"/>
      <c r="AA32" s="97">
        <v>0.23076923076923078</v>
      </c>
      <c r="AB32" s="193">
        <v>0</v>
      </c>
      <c r="AC32" s="123"/>
      <c r="AD32" s="4"/>
      <c r="AE32" s="4"/>
      <c r="AF32" s="4"/>
      <c r="AG32" s="4"/>
      <c r="AH32" s="4"/>
      <c r="AI32" s="4"/>
      <c r="AJ32" s="4"/>
      <c r="AK32" s="4" t="str">
        <f>"   " &amp; TEXT(AB32,"#0.00%") &amp; " " &amp; "뷰어 구현" &amp; " " &amp; IF(M32="","",TEXT(M32,"M/D-")) &amp; IF(N32="","",TEXT(N32,"M/D")) &amp; " "</f>
        <v xml:space="preserve">   0.00% 뷰어 구현 3/13-3/29 </v>
      </c>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row>
    <row r="33" spans="1:189" ht="13.2" outlineLevel="3">
      <c r="A33" s="116"/>
      <c r="B33" s="116"/>
      <c r="C33" s="116">
        <v>4</v>
      </c>
      <c r="D33" s="3" t="s">
        <v>1161</v>
      </c>
      <c r="E33" s="184"/>
      <c r="F33" s="184"/>
      <c r="G33" s="216"/>
      <c r="H33" s="184" t="s">
        <v>1155</v>
      </c>
      <c r="I33" s="216"/>
      <c r="J33" s="184"/>
      <c r="K33" s="184"/>
      <c r="L33" s="184"/>
      <c r="M33" s="185">
        <v>43537</v>
      </c>
      <c r="N33" s="185">
        <v>43553</v>
      </c>
      <c r="O33" s="188"/>
      <c r="P33" s="187">
        <v>13</v>
      </c>
      <c r="Q33" s="187">
        <v>3</v>
      </c>
      <c r="R33" s="188">
        <v>13</v>
      </c>
      <c r="S33" s="188">
        <v>3</v>
      </c>
      <c r="T33" s="185"/>
      <c r="U33" s="185"/>
      <c r="V33" s="189"/>
      <c r="W33" s="190">
        <v>0</v>
      </c>
      <c r="X33" s="191">
        <v>1</v>
      </c>
      <c r="Y33" s="229" t="s">
        <v>1231</v>
      </c>
      <c r="Z33" s="192"/>
      <c r="AA33" s="97">
        <v>0.23076923076923078</v>
      </c>
      <c r="AB33" s="193">
        <v>0</v>
      </c>
      <c r="AC33" s="123"/>
      <c r="AD33" s="4"/>
      <c r="AE33" s="4"/>
      <c r="AF33" s="4"/>
      <c r="AG33" s="4"/>
      <c r="AH33" s="4"/>
      <c r="AI33" s="4"/>
      <c r="AJ33" s="4"/>
      <c r="AK33" s="4" t="str">
        <f>"   " &amp; TEXT(AB33,"#0.00%") &amp; " " &amp; "epub 파일 리딩" &amp; "(김은광)" &amp; " " &amp; IF(M33="","",TEXT(M33,"M/D-")) &amp; IF(N33="","",TEXT(N33,"M/D")) &amp; " "</f>
        <v xml:space="preserve">   0.00% epub 파일 리딩(김은광) 3/13-3/29 </v>
      </c>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row>
    <row r="34" spans="1:189" ht="13.2" outlineLevel="2">
      <c r="A34" s="116"/>
      <c r="B34" s="116" t="s">
        <v>996</v>
      </c>
      <c r="C34" s="116">
        <v>3</v>
      </c>
      <c r="D34" s="3" t="s">
        <v>435</v>
      </c>
      <c r="E34" s="184"/>
      <c r="F34" s="184"/>
      <c r="G34" s="216" t="s">
        <v>1162</v>
      </c>
      <c r="H34" s="184"/>
      <c r="I34" s="184"/>
      <c r="J34" s="184"/>
      <c r="K34" s="184"/>
      <c r="L34" s="184"/>
      <c r="M34" s="185">
        <v>43553</v>
      </c>
      <c r="N34" s="185">
        <v>43593</v>
      </c>
      <c r="O34" s="188"/>
      <c r="P34" s="187">
        <v>55</v>
      </c>
      <c r="Q34" s="187">
        <v>0</v>
      </c>
      <c r="R34" s="188">
        <v>28</v>
      </c>
      <c r="S34" s="188">
        <v>0</v>
      </c>
      <c r="T34" s="185"/>
      <c r="U34" s="185"/>
      <c r="V34" s="189">
        <v>0</v>
      </c>
      <c r="W34" s="190">
        <v>0</v>
      </c>
      <c r="X34" s="191"/>
      <c r="Y34" s="186"/>
      <c r="Z34" s="192"/>
      <c r="AA34" s="97">
        <v>0</v>
      </c>
      <c r="AB34" s="193">
        <v>0</v>
      </c>
      <c r="AC34" s="123"/>
      <c r="AD34" s="4"/>
      <c r="AE34" s="4"/>
      <c r="AF34" s="4"/>
      <c r="AG34" s="4"/>
      <c r="AH34" s="4"/>
      <c r="AI34" s="4"/>
      <c r="AJ34" s="4"/>
      <c r="AK34" s="4"/>
      <c r="AL34" s="4"/>
      <c r="AM34" s="4" t="str">
        <f>"     " &amp; TEXT(AB34,"#0.00%") &amp; " "</f>
        <v xml:space="preserve">     0.00% </v>
      </c>
      <c r="AN34" s="4"/>
      <c r="AO34" s="4"/>
      <c r="AP34" s="4"/>
      <c r="AQ34" s="4"/>
      <c r="AR34" s="4"/>
      <c r="AS34" s="4" t="str">
        <f>"    " &amp; "기타 기능 전반 구현" &amp; " " &amp; IF(M34="","",TEXT(M34,"M/D-")) &amp; IF(N34="","",TEXT(N34,"M/D")) &amp; " "</f>
        <v xml:space="preserve">    기타 기능 전반 구현 3/29-5/8 </v>
      </c>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row>
    <row r="35" spans="1:189" ht="13.2" outlineLevel="3">
      <c r="A35" s="116"/>
      <c r="B35" s="116" t="s">
        <v>996</v>
      </c>
      <c r="C35" s="116">
        <v>4</v>
      </c>
      <c r="D35" s="3" t="s">
        <v>1150</v>
      </c>
      <c r="E35" s="184"/>
      <c r="F35" s="184"/>
      <c r="G35" s="216"/>
      <c r="H35" s="216" t="s">
        <v>1163</v>
      </c>
      <c r="I35" s="216"/>
      <c r="J35" s="184"/>
      <c r="K35" s="184"/>
      <c r="L35" s="184"/>
      <c r="M35" s="185">
        <v>43588</v>
      </c>
      <c r="N35" s="185">
        <v>43593</v>
      </c>
      <c r="O35" s="188"/>
      <c r="P35" s="187">
        <v>3</v>
      </c>
      <c r="Q35" s="187">
        <v>0</v>
      </c>
      <c r="R35" s="188">
        <v>3</v>
      </c>
      <c r="S35" s="188">
        <v>0</v>
      </c>
      <c r="T35" s="185"/>
      <c r="U35" s="185"/>
      <c r="V35" s="189">
        <v>0</v>
      </c>
      <c r="W35" s="190">
        <v>0</v>
      </c>
      <c r="X35" s="191"/>
      <c r="Y35" s="186"/>
      <c r="Z35" s="192"/>
      <c r="AA35" s="97">
        <v>0</v>
      </c>
      <c r="AB35" s="193">
        <v>0</v>
      </c>
      <c r="AC35" s="123"/>
      <c r="AD35" s="4"/>
      <c r="AE35" s="4"/>
      <c r="AF35" s="4"/>
      <c r="AG35" s="4"/>
      <c r="AH35" s="4"/>
      <c r="AI35" s="4"/>
      <c r="AJ35" s="4"/>
      <c r="AK35" s="4"/>
      <c r="AL35" s="4"/>
      <c r="AM35" s="4"/>
      <c r="AN35" s="4"/>
      <c r="AO35" s="4"/>
      <c r="AP35" s="4"/>
      <c r="AQ35" s="4"/>
      <c r="AR35" s="4" t="str">
        <f>"     " &amp; TEXT(AB35,"#0.00%") &amp; " " &amp; "공통" &amp; " " &amp; IF(M35="","",TEXT(M35,"M/D-")) &amp; IF(N35="","",TEXT(N35,"M/D")) &amp; " "</f>
        <v xml:space="preserve">     0.00% 공통 5/3-5/8 </v>
      </c>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row>
    <row r="36" spans="1:189" ht="13.2" outlineLevel="4">
      <c r="A36" s="116"/>
      <c r="B36" s="116"/>
      <c r="C36" s="116">
        <v>5</v>
      </c>
      <c r="D36" s="3" t="s">
        <v>1187</v>
      </c>
      <c r="E36" s="184"/>
      <c r="F36" s="184"/>
      <c r="G36" s="216"/>
      <c r="H36" s="184"/>
      <c r="I36" s="216" t="s">
        <v>1164</v>
      </c>
      <c r="J36" s="184"/>
      <c r="K36" s="184"/>
      <c r="L36" s="184"/>
      <c r="M36" s="185">
        <v>43588</v>
      </c>
      <c r="N36" s="185">
        <v>43593</v>
      </c>
      <c r="O36" s="186"/>
      <c r="P36" s="187">
        <v>3</v>
      </c>
      <c r="Q36" s="187">
        <v>0</v>
      </c>
      <c r="R36" s="188">
        <v>3</v>
      </c>
      <c r="S36" s="188">
        <v>0</v>
      </c>
      <c r="T36" s="185"/>
      <c r="U36" s="185"/>
      <c r="V36" s="189"/>
      <c r="W36" s="190">
        <v>0</v>
      </c>
      <c r="X36" s="191">
        <v>1</v>
      </c>
      <c r="Y36" s="229" t="s">
        <v>1240</v>
      </c>
      <c r="Z36" s="192"/>
      <c r="AA36" s="97">
        <v>0</v>
      </c>
      <c r="AB36" s="193">
        <v>0</v>
      </c>
      <c r="AC36" s="123"/>
      <c r="AD36" s="4"/>
      <c r="AE36" s="4"/>
      <c r="AF36" s="4"/>
      <c r="AG36" s="4"/>
      <c r="AH36" s="4"/>
      <c r="AI36" s="4"/>
      <c r="AJ36" s="4"/>
      <c r="AK36" s="4"/>
      <c r="AL36" s="4"/>
      <c r="AM36" s="4"/>
      <c r="AN36" s="4"/>
      <c r="AO36" s="4"/>
      <c r="AP36" s="4"/>
      <c r="AQ36" s="4"/>
      <c r="AR36" s="4" t="str">
        <f>"     " &amp; TEXT(AB36,"#0.00%") &amp; " " &amp; "메시지" &amp; "(박형진, 임홍기)" &amp; " " &amp; IF(M36="","",TEXT(M36,"M/D-")) &amp; IF(N36="","",TEXT(N36,"M/D")) &amp; " "</f>
        <v xml:space="preserve">     0.00% 메시지(박형진, 임홍기) 5/3-5/8 </v>
      </c>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row>
    <row r="37" spans="1:189" ht="13.2" outlineLevel="3">
      <c r="A37" s="116"/>
      <c r="B37" s="116" t="s">
        <v>996</v>
      </c>
      <c r="C37" s="116">
        <v>4</v>
      </c>
      <c r="D37" s="3" t="s">
        <v>1151</v>
      </c>
      <c r="E37" s="184"/>
      <c r="F37" s="184"/>
      <c r="G37" s="216"/>
      <c r="H37" s="217" t="s">
        <v>1165</v>
      </c>
      <c r="I37" s="184"/>
      <c r="J37" s="184"/>
      <c r="K37" s="184"/>
      <c r="L37" s="184"/>
      <c r="M37" s="185">
        <v>43553</v>
      </c>
      <c r="N37" s="185">
        <v>43557</v>
      </c>
      <c r="O37" s="186"/>
      <c r="P37" s="187">
        <v>10</v>
      </c>
      <c r="Q37" s="187">
        <v>0</v>
      </c>
      <c r="R37" s="188">
        <v>3</v>
      </c>
      <c r="S37" s="188">
        <v>0</v>
      </c>
      <c r="T37" s="185"/>
      <c r="U37" s="185"/>
      <c r="V37" s="189">
        <v>0</v>
      </c>
      <c r="W37" s="190">
        <v>0</v>
      </c>
      <c r="X37" s="191"/>
      <c r="Y37" s="186"/>
      <c r="Z37" s="192"/>
      <c r="AA37" s="97">
        <v>0</v>
      </c>
      <c r="AB37" s="193">
        <v>0</v>
      </c>
      <c r="AC37" s="123"/>
      <c r="AD37" s="4"/>
      <c r="AE37" s="4"/>
      <c r="AF37" s="4"/>
      <c r="AG37" s="4"/>
      <c r="AH37" s="4"/>
      <c r="AI37" s="4"/>
      <c r="AJ37" s="4"/>
      <c r="AK37" s="4"/>
      <c r="AL37" s="4"/>
      <c r="AM37" s="4" t="str">
        <f>"     " &amp; TEXT(AB37,"#0.00%") &amp; " " &amp; "회원관련 모듈" &amp; " " &amp; IF(M37="","",TEXT(M37,"M/D-")) &amp; IF(N37="","",TEXT(N37,"M/D")) &amp; " "</f>
        <v xml:space="preserve">     0.00% 회원관련 모듈 3/29-4/2 </v>
      </c>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row>
    <row r="38" spans="1:189" ht="13.2" outlineLevel="4">
      <c r="A38" s="116"/>
      <c r="B38" s="116" t="s">
        <v>996</v>
      </c>
      <c r="C38" s="116">
        <v>5</v>
      </c>
      <c r="D38" s="3" t="s">
        <v>1188</v>
      </c>
      <c r="E38" s="184"/>
      <c r="F38" s="184"/>
      <c r="G38" s="216"/>
      <c r="H38" s="217"/>
      <c r="I38" s="217" t="s">
        <v>1152</v>
      </c>
      <c r="J38" s="184"/>
      <c r="K38" s="184"/>
      <c r="L38" s="184"/>
      <c r="M38" s="185">
        <v>43553</v>
      </c>
      <c r="N38" s="185">
        <v>43557</v>
      </c>
      <c r="O38" s="186"/>
      <c r="P38" s="187">
        <v>4</v>
      </c>
      <c r="Q38" s="187">
        <v>0</v>
      </c>
      <c r="R38" s="188">
        <v>3</v>
      </c>
      <c r="S38" s="188">
        <v>0</v>
      </c>
      <c r="T38" s="185"/>
      <c r="U38" s="185"/>
      <c r="V38" s="189">
        <v>0</v>
      </c>
      <c r="W38" s="190">
        <v>0</v>
      </c>
      <c r="X38" s="191"/>
      <c r="Y38" s="186"/>
      <c r="Z38" s="192"/>
      <c r="AA38" s="97">
        <v>0</v>
      </c>
      <c r="AB38" s="193">
        <v>0</v>
      </c>
      <c r="AC38" s="123"/>
      <c r="AD38" s="4"/>
      <c r="AE38" s="4"/>
      <c r="AF38" s="4"/>
      <c r="AG38" s="4"/>
      <c r="AH38" s="4"/>
      <c r="AI38" s="4"/>
      <c r="AJ38" s="4"/>
      <c r="AK38" s="4"/>
      <c r="AL38" s="4"/>
      <c r="AM38" s="4" t="str">
        <f>"     " &amp; TEXT(AB38,"#0.00%") &amp; " " &amp; "백엔드" &amp; " " &amp; IF(M38="","",TEXT(M38,"M/D-")) &amp; IF(N38="","",TEXT(N38,"M/D")) &amp; " "</f>
        <v xml:space="preserve">     0.00% 백엔드 3/29-4/2 </v>
      </c>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row>
    <row r="39" spans="1:189" ht="13.2" outlineLevel="5">
      <c r="A39" s="116"/>
      <c r="B39" s="116"/>
      <c r="C39" s="116">
        <v>6</v>
      </c>
      <c r="D39" s="3" t="s">
        <v>1189</v>
      </c>
      <c r="E39" s="184"/>
      <c r="F39" s="184"/>
      <c r="G39" s="216"/>
      <c r="H39" s="184"/>
      <c r="I39" s="216"/>
      <c r="J39" s="184" t="s">
        <v>1166</v>
      </c>
      <c r="K39" s="184"/>
      <c r="L39" s="184"/>
      <c r="M39" s="185">
        <v>43553</v>
      </c>
      <c r="N39" s="185">
        <v>43556</v>
      </c>
      <c r="O39" s="186"/>
      <c r="P39" s="187">
        <v>2</v>
      </c>
      <c r="Q39" s="187">
        <v>0</v>
      </c>
      <c r="R39" s="188">
        <v>2</v>
      </c>
      <c r="S39" s="188">
        <v>0</v>
      </c>
      <c r="T39" s="185"/>
      <c r="U39" s="185"/>
      <c r="V39" s="189"/>
      <c r="W39" s="190">
        <v>0</v>
      </c>
      <c r="X39" s="191">
        <v>1</v>
      </c>
      <c r="Y39" s="229" t="s">
        <v>1241</v>
      </c>
      <c r="Z39" s="192"/>
      <c r="AA39" s="97">
        <v>0</v>
      </c>
      <c r="AB39" s="193">
        <v>0</v>
      </c>
      <c r="AC39" s="123"/>
      <c r="AD39" s="4"/>
      <c r="AE39" s="4"/>
      <c r="AF39" s="4"/>
      <c r="AG39" s="4"/>
      <c r="AH39" s="4"/>
      <c r="AI39" s="4"/>
      <c r="AJ39" s="4"/>
      <c r="AK39" s="4"/>
      <c r="AL39" s="4"/>
      <c r="AM39" s="4" t="str">
        <f>"     " &amp; TEXT(AB39,"#0.00%") &amp; " " &amp; "사용자 정보 변경" &amp; "(김은채, 임홍기)" &amp; " " &amp; IF(M39="","",TEXT(M39,"M/D-")) &amp; IF(N39="","",TEXT(N39,"M/D")) &amp; " "</f>
        <v xml:space="preserve">     0.00% 사용자 정보 변경(김은채, 임홍기) 3/29-4/1 </v>
      </c>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row>
    <row r="40" spans="1:189" ht="13.2" outlineLevel="5">
      <c r="A40" s="116"/>
      <c r="B40" s="116"/>
      <c r="C40" s="116">
        <v>6</v>
      </c>
      <c r="D40" s="3" t="s">
        <v>1190</v>
      </c>
      <c r="E40" s="184"/>
      <c r="F40" s="184"/>
      <c r="G40" s="216"/>
      <c r="H40" s="184"/>
      <c r="I40" s="216"/>
      <c r="J40" s="184" t="s">
        <v>1167</v>
      </c>
      <c r="K40" s="184"/>
      <c r="L40" s="184"/>
      <c r="M40" s="185">
        <v>43556</v>
      </c>
      <c r="N40" s="185">
        <v>43557</v>
      </c>
      <c r="O40" s="186"/>
      <c r="P40" s="187">
        <v>2</v>
      </c>
      <c r="Q40" s="187">
        <v>0</v>
      </c>
      <c r="R40" s="188">
        <v>2</v>
      </c>
      <c r="S40" s="188">
        <v>0</v>
      </c>
      <c r="T40" s="185"/>
      <c r="U40" s="185"/>
      <c r="V40" s="189"/>
      <c r="W40" s="190">
        <v>0</v>
      </c>
      <c r="X40" s="191">
        <v>1</v>
      </c>
      <c r="Y40" s="229" t="s">
        <v>1228</v>
      </c>
      <c r="Z40" s="192"/>
      <c r="AA40" s="97">
        <v>0</v>
      </c>
      <c r="AB40" s="193">
        <v>0</v>
      </c>
      <c r="AC40" s="123"/>
      <c r="AD40" s="4"/>
      <c r="AE40" s="4"/>
      <c r="AF40" s="4"/>
      <c r="AG40" s="4"/>
      <c r="AH40" s="4"/>
      <c r="AI40" s="4"/>
      <c r="AJ40" s="4"/>
      <c r="AK40" s="4"/>
      <c r="AL40" s="4"/>
      <c r="AM40" s="4"/>
      <c r="AN40" s="4" t="str">
        <f>" " &amp; TEXT(AB40,"#0.00%") &amp; " " &amp; "id,pw찾기" &amp; "(임홍기)" &amp; " " &amp; IF(M40="","",TEXT(M40,"M/D-")) &amp; IF(N40="","",TEXT(N40,"M/D")) &amp; " "</f>
        <v xml:space="preserve"> 0.00% id,pw찾기(임홍기) 4/1-4/2 </v>
      </c>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row>
    <row r="41" spans="1:189" ht="13.2" outlineLevel="4">
      <c r="A41" s="116"/>
      <c r="B41" s="116" t="s">
        <v>996</v>
      </c>
      <c r="C41" s="116">
        <v>5</v>
      </c>
      <c r="D41" s="3" t="s">
        <v>1191</v>
      </c>
      <c r="E41" s="184"/>
      <c r="F41" s="184"/>
      <c r="G41" s="216"/>
      <c r="H41" s="184"/>
      <c r="I41" s="216" t="s">
        <v>1153</v>
      </c>
      <c r="J41" s="184"/>
      <c r="K41" s="184"/>
      <c r="L41" s="184"/>
      <c r="M41" s="185">
        <v>43553</v>
      </c>
      <c r="N41" s="185">
        <v>43556</v>
      </c>
      <c r="O41" s="186"/>
      <c r="P41" s="187">
        <v>6</v>
      </c>
      <c r="Q41" s="187">
        <v>0</v>
      </c>
      <c r="R41" s="188">
        <v>2</v>
      </c>
      <c r="S41" s="188">
        <v>0</v>
      </c>
      <c r="T41" s="185"/>
      <c r="U41" s="185"/>
      <c r="V41" s="189">
        <v>0</v>
      </c>
      <c r="W41" s="190">
        <v>0</v>
      </c>
      <c r="X41" s="191"/>
      <c r="Y41" s="186"/>
      <c r="Z41" s="192"/>
      <c r="AA41" s="97">
        <v>0</v>
      </c>
      <c r="AB41" s="193">
        <v>0</v>
      </c>
      <c r="AC41" s="123"/>
      <c r="AD41" s="4"/>
      <c r="AE41" s="4"/>
      <c r="AF41" s="4"/>
      <c r="AG41" s="4"/>
      <c r="AH41" s="4"/>
      <c r="AI41" s="4"/>
      <c r="AJ41" s="4"/>
      <c r="AK41" s="4"/>
      <c r="AL41" s="4"/>
      <c r="AM41" s="4" t="str">
        <f>"     " &amp; TEXT(AB41,"#0.00%") &amp; " " &amp; "프론트엔드" &amp; " " &amp; IF(M41="","",TEXT(M41,"M/D-")) &amp; IF(N41="","",TEXT(N41,"M/D")) &amp; " "</f>
        <v xml:space="preserve">     0.00% 프론트엔드 3/29-4/1 </v>
      </c>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row>
    <row r="42" spans="1:189" ht="13.2" outlineLevel="5">
      <c r="A42" s="116"/>
      <c r="B42" s="116"/>
      <c r="C42" s="116">
        <v>6</v>
      </c>
      <c r="D42" s="3" t="s">
        <v>1192</v>
      </c>
      <c r="E42" s="184"/>
      <c r="F42" s="184"/>
      <c r="G42" s="216"/>
      <c r="H42" s="184"/>
      <c r="I42" s="216"/>
      <c r="J42" s="184" t="s">
        <v>1244</v>
      </c>
      <c r="K42" s="184"/>
      <c r="L42" s="184"/>
      <c r="M42" s="185">
        <v>43553</v>
      </c>
      <c r="N42" s="185">
        <v>43556</v>
      </c>
      <c r="O42" s="186"/>
      <c r="P42" s="187">
        <v>2</v>
      </c>
      <c r="Q42" s="187">
        <v>0</v>
      </c>
      <c r="R42" s="188">
        <v>2</v>
      </c>
      <c r="S42" s="188">
        <v>0</v>
      </c>
      <c r="T42" s="185"/>
      <c r="U42" s="185"/>
      <c r="V42" s="189"/>
      <c r="W42" s="190">
        <v>0</v>
      </c>
      <c r="X42" s="191">
        <v>1</v>
      </c>
      <c r="Y42" s="186" t="s">
        <v>1233</v>
      </c>
      <c r="Z42" s="192"/>
      <c r="AA42" s="97">
        <v>0</v>
      </c>
      <c r="AB42" s="193">
        <v>0</v>
      </c>
      <c r="AC42" s="123"/>
      <c r="AD42" s="4"/>
      <c r="AE42" s="4"/>
      <c r="AF42" s="4"/>
      <c r="AG42" s="4"/>
      <c r="AH42" s="4"/>
      <c r="AI42" s="4"/>
      <c r="AJ42" s="4"/>
      <c r="AK42" s="4"/>
      <c r="AL42" s="4"/>
      <c r="AM42" s="4" t="str">
        <f>"     " &amp; TEXT(AB42,"#0.00%") &amp; " " &amp; "회원가입 페이지" &amp; "(한혜은)" &amp; " " &amp; IF(M42="","",TEXT(M42,"M/D-")) &amp; IF(N42="","",TEXT(N42,"M/D")) &amp; " "</f>
        <v xml:space="preserve">     0.00% 회원가입 페이지(한혜은) 3/29-4/1 </v>
      </c>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row>
    <row r="43" spans="1:189" ht="13.2" outlineLevel="5">
      <c r="A43" s="116"/>
      <c r="B43" s="116"/>
      <c r="C43" s="116">
        <v>6</v>
      </c>
      <c r="D43" s="3" t="s">
        <v>1193</v>
      </c>
      <c r="E43" s="184"/>
      <c r="F43" s="184"/>
      <c r="G43" s="216"/>
      <c r="H43" s="184"/>
      <c r="I43" s="216"/>
      <c r="J43" s="225" t="s">
        <v>1168</v>
      </c>
      <c r="K43" s="184"/>
      <c r="L43" s="184"/>
      <c r="M43" s="185">
        <v>43553</v>
      </c>
      <c r="N43" s="185">
        <v>43556</v>
      </c>
      <c r="O43" s="186"/>
      <c r="P43" s="187">
        <v>2</v>
      </c>
      <c r="Q43" s="187">
        <v>0</v>
      </c>
      <c r="R43" s="188">
        <v>2</v>
      </c>
      <c r="S43" s="188">
        <v>0</v>
      </c>
      <c r="T43" s="185"/>
      <c r="U43" s="185"/>
      <c r="V43" s="189"/>
      <c r="W43" s="190">
        <v>0</v>
      </c>
      <c r="X43" s="191">
        <v>1</v>
      </c>
      <c r="Y43" s="229" t="s">
        <v>1232</v>
      </c>
      <c r="Z43" s="192"/>
      <c r="AA43" s="97">
        <v>0</v>
      </c>
      <c r="AB43" s="193">
        <v>0</v>
      </c>
      <c r="AC43" s="123"/>
      <c r="AD43" s="4"/>
      <c r="AE43" s="4"/>
      <c r="AF43" s="4"/>
      <c r="AG43" s="4"/>
      <c r="AH43" s="4"/>
      <c r="AI43" s="4"/>
      <c r="AJ43" s="4"/>
      <c r="AK43" s="4"/>
      <c r="AL43" s="4"/>
      <c r="AM43" s="4" t="str">
        <f>"     " &amp; TEXT(AB43,"#0.00%") &amp; " " &amp; "사용자 정보 변경 페이지" &amp; "(곽민수)" &amp; " " &amp; IF(M43="","",TEXT(M43,"M/D-")) &amp; IF(N43="","",TEXT(N43,"M/D")) &amp; " "</f>
        <v xml:space="preserve">     0.00% 사용자 정보 변경 페이지(곽민수) 3/29-4/1 </v>
      </c>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row>
    <row r="44" spans="1:189" ht="13.2" outlineLevel="5">
      <c r="A44" s="116"/>
      <c r="B44" s="116"/>
      <c r="C44" s="116">
        <v>6</v>
      </c>
      <c r="D44" s="3" t="s">
        <v>1194</v>
      </c>
      <c r="E44" s="184"/>
      <c r="F44" s="184"/>
      <c r="G44" s="216"/>
      <c r="H44" s="184"/>
      <c r="I44" s="216"/>
      <c r="J44" s="184" t="s">
        <v>1169</v>
      </c>
      <c r="K44" s="184"/>
      <c r="L44" s="184"/>
      <c r="M44" s="185">
        <v>43553</v>
      </c>
      <c r="N44" s="185">
        <v>43556</v>
      </c>
      <c r="O44" s="186"/>
      <c r="P44" s="187">
        <v>2</v>
      </c>
      <c r="Q44" s="187">
        <v>0</v>
      </c>
      <c r="R44" s="188">
        <v>2</v>
      </c>
      <c r="S44" s="188">
        <v>0</v>
      </c>
      <c r="T44" s="185"/>
      <c r="U44" s="185"/>
      <c r="V44" s="189"/>
      <c r="W44" s="190">
        <v>0</v>
      </c>
      <c r="X44" s="191">
        <v>1</v>
      </c>
      <c r="Y44" s="229" t="s">
        <v>1233</v>
      </c>
      <c r="Z44" s="192"/>
      <c r="AA44" s="97">
        <v>0</v>
      </c>
      <c r="AB44" s="193">
        <v>0</v>
      </c>
      <c r="AC44" s="123"/>
      <c r="AD44" s="4"/>
      <c r="AE44" s="4"/>
      <c r="AF44" s="4"/>
      <c r="AG44" s="4"/>
      <c r="AH44" s="4"/>
      <c r="AI44" s="4"/>
      <c r="AJ44" s="4"/>
      <c r="AK44" s="4"/>
      <c r="AL44" s="4"/>
      <c r="AM44" s="4" t="str">
        <f>"     " &amp; TEXT(AB44,"#0.00%") &amp; " " &amp; "id,pw찾기 페이지" &amp; "(한혜은)" &amp; " " &amp; IF(M44="","",TEXT(M44,"M/D-")) &amp; IF(N44="","",TEXT(N44,"M/D")) &amp; " "</f>
        <v xml:space="preserve">     0.00% id,pw찾기 페이지(한혜은) 3/29-4/1 </v>
      </c>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row>
    <row r="45" spans="1:189" ht="13.2" outlineLevel="3">
      <c r="A45" s="116"/>
      <c r="B45" s="116" t="s">
        <v>996</v>
      </c>
      <c r="C45" s="116">
        <v>4</v>
      </c>
      <c r="D45" s="3" t="s">
        <v>1195</v>
      </c>
      <c r="E45" s="184"/>
      <c r="F45" s="184"/>
      <c r="G45" s="216"/>
      <c r="H45" s="216" t="s">
        <v>1170</v>
      </c>
      <c r="I45" s="216"/>
      <c r="J45" s="184"/>
      <c r="K45" s="184"/>
      <c r="L45" s="184"/>
      <c r="M45" s="185">
        <v>43556</v>
      </c>
      <c r="N45" s="185">
        <v>43562</v>
      </c>
      <c r="O45" s="186"/>
      <c r="P45" s="187">
        <v>8</v>
      </c>
      <c r="Q45" s="187">
        <v>0</v>
      </c>
      <c r="R45" s="188">
        <v>5</v>
      </c>
      <c r="S45" s="188">
        <v>0</v>
      </c>
      <c r="T45" s="185"/>
      <c r="U45" s="185"/>
      <c r="V45" s="189">
        <v>0</v>
      </c>
      <c r="W45" s="190">
        <v>0</v>
      </c>
      <c r="X45" s="191"/>
      <c r="Y45" s="186"/>
      <c r="Z45" s="192"/>
      <c r="AA45" s="97">
        <v>0</v>
      </c>
      <c r="AB45" s="193">
        <v>0</v>
      </c>
      <c r="AC45" s="123"/>
      <c r="AD45" s="4"/>
      <c r="AE45" s="4"/>
      <c r="AF45" s="4"/>
      <c r="AG45" s="4"/>
      <c r="AH45" s="4"/>
      <c r="AI45" s="4"/>
      <c r="AJ45" s="4"/>
      <c r="AK45" s="4"/>
      <c r="AL45" s="4"/>
      <c r="AM45" s="4"/>
      <c r="AN45" s="4" t="str">
        <f>" " &amp; TEXT(AB45,"#0.00%") &amp; " " &amp; "작가페이지" &amp; " " &amp; IF(M45="","",TEXT(M45,"M/D-")) &amp; IF(N45="","",TEXT(N45,"M/D")) &amp; " "</f>
        <v xml:space="preserve"> 0.00% 작가페이지 4/1-4/7 </v>
      </c>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row>
    <row r="46" spans="1:189" ht="13.2" outlineLevel="4">
      <c r="A46" s="116"/>
      <c r="B46" s="116" t="s">
        <v>996</v>
      </c>
      <c r="C46" s="116">
        <v>5</v>
      </c>
      <c r="D46" s="3" t="s">
        <v>1196</v>
      </c>
      <c r="E46" s="184"/>
      <c r="F46" s="184"/>
      <c r="G46" s="216"/>
      <c r="H46" s="216"/>
      <c r="I46" s="216" t="s">
        <v>1152</v>
      </c>
      <c r="J46" s="184"/>
      <c r="K46" s="184"/>
      <c r="L46" s="184"/>
      <c r="M46" s="185">
        <v>43556</v>
      </c>
      <c r="N46" s="185">
        <v>43560</v>
      </c>
      <c r="O46" s="186"/>
      <c r="P46" s="187">
        <v>6</v>
      </c>
      <c r="Q46" s="187">
        <v>0</v>
      </c>
      <c r="R46" s="188">
        <v>5</v>
      </c>
      <c r="S46" s="188">
        <v>0</v>
      </c>
      <c r="T46" s="185"/>
      <c r="U46" s="185"/>
      <c r="V46" s="189">
        <v>0</v>
      </c>
      <c r="W46" s="190">
        <v>0</v>
      </c>
      <c r="X46" s="191"/>
      <c r="Y46" s="186"/>
      <c r="Z46" s="192"/>
      <c r="AA46" s="97">
        <v>0</v>
      </c>
      <c r="AB46" s="193">
        <v>0</v>
      </c>
      <c r="AC46" s="123"/>
      <c r="AD46" s="4"/>
      <c r="AE46" s="4"/>
      <c r="AF46" s="4"/>
      <c r="AG46" s="4"/>
      <c r="AH46" s="4"/>
      <c r="AI46" s="4"/>
      <c r="AJ46" s="4"/>
      <c r="AK46" s="4"/>
      <c r="AL46" s="4"/>
      <c r="AM46" s="4"/>
      <c r="AN46" s="4" t="str">
        <f>" " &amp; TEXT(AB46,"#0.00%") &amp; " " &amp; "백엔드" &amp; " " &amp; IF(M46="","",TEXT(M46,"M/D-")) &amp; IF(N46="","",TEXT(N46,"M/D")) &amp; " "</f>
        <v xml:space="preserve"> 0.00% 백엔드 4/1-4/5 </v>
      </c>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row>
    <row r="47" spans="1:189" ht="13.2" outlineLevel="5">
      <c r="A47" s="116"/>
      <c r="B47" s="116"/>
      <c r="C47" s="116">
        <v>6</v>
      </c>
      <c r="D47" s="3" t="s">
        <v>1197</v>
      </c>
      <c r="E47" s="184"/>
      <c r="F47" s="184"/>
      <c r="G47" s="216"/>
      <c r="H47" s="184"/>
      <c r="I47" s="216"/>
      <c r="J47" s="184" t="s">
        <v>1171</v>
      </c>
      <c r="K47" s="184"/>
      <c r="L47" s="184"/>
      <c r="M47" s="185">
        <v>43556</v>
      </c>
      <c r="N47" s="185">
        <v>43558</v>
      </c>
      <c r="O47" s="186"/>
      <c r="P47" s="187">
        <v>3</v>
      </c>
      <c r="Q47" s="187">
        <v>0</v>
      </c>
      <c r="R47" s="188">
        <v>3</v>
      </c>
      <c r="S47" s="188">
        <v>0</v>
      </c>
      <c r="T47" s="185"/>
      <c r="U47" s="185"/>
      <c r="V47" s="189"/>
      <c r="W47" s="190">
        <v>0</v>
      </c>
      <c r="X47" s="191">
        <v>1</v>
      </c>
      <c r="Y47" s="229" t="s">
        <v>1241</v>
      </c>
      <c r="Z47" s="192"/>
      <c r="AA47" s="97">
        <v>0</v>
      </c>
      <c r="AB47" s="193">
        <v>0</v>
      </c>
      <c r="AC47" s="123"/>
      <c r="AD47" s="4"/>
      <c r="AE47" s="4"/>
      <c r="AF47" s="4"/>
      <c r="AG47" s="4"/>
      <c r="AH47" s="4"/>
      <c r="AI47" s="4"/>
      <c r="AJ47" s="4"/>
      <c r="AK47" s="4"/>
      <c r="AL47" s="4"/>
      <c r="AM47" s="4"/>
      <c r="AN47" s="4" t="str">
        <f>" " &amp; TEXT(AB47,"#0.00%") &amp; " " &amp; "작품리스트" &amp; "(김은채, 임홍기)" &amp; " " &amp; IF(M47="","",TEXT(M47,"M/D-")) &amp; IF(N47="","",TEXT(N47,"M/D")) &amp; " "</f>
        <v xml:space="preserve"> 0.00% 작품리스트(김은채, 임홍기) 4/1-4/3 </v>
      </c>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row>
    <row r="48" spans="1:189" ht="13.2" outlineLevel="5">
      <c r="A48" s="116"/>
      <c r="B48" s="116"/>
      <c r="C48" s="116">
        <v>6</v>
      </c>
      <c r="D48" s="3" t="s">
        <v>1198</v>
      </c>
      <c r="E48" s="184"/>
      <c r="F48" s="184"/>
      <c r="G48" s="216"/>
      <c r="H48" s="184"/>
      <c r="I48" s="216"/>
      <c r="J48" s="224" t="s">
        <v>1172</v>
      </c>
      <c r="K48" s="184"/>
      <c r="L48" s="184"/>
      <c r="M48" s="185">
        <v>43558</v>
      </c>
      <c r="N48" s="185">
        <v>43560</v>
      </c>
      <c r="O48" s="186"/>
      <c r="P48" s="187">
        <v>3</v>
      </c>
      <c r="Q48" s="187">
        <v>0</v>
      </c>
      <c r="R48" s="188">
        <v>3</v>
      </c>
      <c r="S48" s="188">
        <v>0</v>
      </c>
      <c r="T48" s="185"/>
      <c r="U48" s="185"/>
      <c r="V48" s="189"/>
      <c r="W48" s="190">
        <v>0</v>
      </c>
      <c r="X48" s="191">
        <v>1</v>
      </c>
      <c r="Y48" s="229" t="s">
        <v>1240</v>
      </c>
      <c r="Z48" s="192"/>
      <c r="AA48" s="97">
        <v>0</v>
      </c>
      <c r="AB48" s="193">
        <v>0</v>
      </c>
      <c r="AC48" s="123"/>
      <c r="AD48" s="4"/>
      <c r="AE48" s="4"/>
      <c r="AF48" s="4"/>
      <c r="AG48" s="4"/>
      <c r="AH48" s="4"/>
      <c r="AI48" s="4"/>
      <c r="AJ48" s="4"/>
      <c r="AK48" s="4"/>
      <c r="AL48" s="4"/>
      <c r="AM48" s="4"/>
      <c r="AN48" s="4" t="str">
        <f>"   " &amp; TEXT(AB48,"#0.00%") &amp; " " &amp; "작품 수익" &amp; "(박형진, 임홍기)" &amp; " " &amp; IF(M48="","",TEXT(M48,"M/D-")) &amp; IF(N48="","",TEXT(N48,"M/D")) &amp; " "</f>
        <v xml:space="preserve">   0.00% 작품 수익(박형진, 임홍기) 4/3-4/5 </v>
      </c>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row>
    <row r="49" spans="1:189" ht="13.2" outlineLevel="4">
      <c r="A49" s="116"/>
      <c r="B49" s="116" t="s">
        <v>996</v>
      </c>
      <c r="C49" s="116">
        <v>5</v>
      </c>
      <c r="D49" s="3" t="s">
        <v>1199</v>
      </c>
      <c r="E49" s="184"/>
      <c r="F49" s="184"/>
      <c r="G49" s="216"/>
      <c r="H49" s="184"/>
      <c r="I49" s="216" t="s">
        <v>1153</v>
      </c>
      <c r="J49" s="184"/>
      <c r="K49" s="184"/>
      <c r="L49" s="184"/>
      <c r="M49" s="185">
        <v>43560</v>
      </c>
      <c r="N49" s="185">
        <v>43562</v>
      </c>
      <c r="O49" s="186"/>
      <c r="P49" s="187">
        <v>2</v>
      </c>
      <c r="Q49" s="187">
        <v>0</v>
      </c>
      <c r="R49" s="188">
        <v>1</v>
      </c>
      <c r="S49" s="188">
        <v>0</v>
      </c>
      <c r="T49" s="185"/>
      <c r="U49" s="185"/>
      <c r="V49" s="189">
        <v>0</v>
      </c>
      <c r="W49" s="190">
        <v>0</v>
      </c>
      <c r="X49" s="191"/>
      <c r="Y49" s="186"/>
      <c r="Z49" s="192"/>
      <c r="AA49" s="97">
        <v>0</v>
      </c>
      <c r="AB49" s="193">
        <v>0</v>
      </c>
      <c r="AC49" s="123"/>
      <c r="AD49" s="4"/>
      <c r="AE49" s="4"/>
      <c r="AF49" s="4"/>
      <c r="AG49" s="4"/>
      <c r="AH49" s="4"/>
      <c r="AI49" s="4"/>
      <c r="AJ49" s="4"/>
      <c r="AK49" s="4"/>
      <c r="AL49" s="4"/>
      <c r="AM49" s="4"/>
      <c r="AN49" s="4" t="str">
        <f>"     " &amp; TEXT(AB49,"#0.00%") &amp; " " &amp; "프론트엔드" &amp; " " &amp; IF(M49="","",TEXT(M49,"M/D-")) &amp; IF(N49="","",TEXT(N49,"M/D")) &amp; " "</f>
        <v xml:space="preserve">     0.00% 프론트엔드 4/5-4/7 </v>
      </c>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row>
    <row r="50" spans="1:189" ht="13.2" outlineLevel="5">
      <c r="A50" s="116"/>
      <c r="B50" s="116"/>
      <c r="C50" s="116">
        <v>6</v>
      </c>
      <c r="D50" s="3" t="s">
        <v>1200</v>
      </c>
      <c r="E50" s="184"/>
      <c r="F50" s="184"/>
      <c r="G50" s="216"/>
      <c r="H50" s="184"/>
      <c r="I50" s="216"/>
      <c r="J50" s="216" t="s">
        <v>1173</v>
      </c>
      <c r="K50" s="184"/>
      <c r="L50" s="184"/>
      <c r="M50" s="185">
        <v>43560</v>
      </c>
      <c r="N50" s="185">
        <v>43561</v>
      </c>
      <c r="O50" s="186"/>
      <c r="P50" s="187">
        <v>1</v>
      </c>
      <c r="Q50" s="187">
        <v>0</v>
      </c>
      <c r="R50" s="188">
        <v>1</v>
      </c>
      <c r="S50" s="188">
        <v>0</v>
      </c>
      <c r="T50" s="185"/>
      <c r="U50" s="185"/>
      <c r="V50" s="189"/>
      <c r="W50" s="190">
        <v>0</v>
      </c>
      <c r="X50" s="191">
        <v>1</v>
      </c>
      <c r="Y50" s="229" t="s">
        <v>1232</v>
      </c>
      <c r="Z50" s="192"/>
      <c r="AA50" s="97">
        <v>0</v>
      </c>
      <c r="AB50" s="193">
        <v>0</v>
      </c>
      <c r="AC50" s="123"/>
      <c r="AD50" s="4"/>
      <c r="AE50" s="4"/>
      <c r="AF50" s="4"/>
      <c r="AG50" s="4"/>
      <c r="AH50" s="4"/>
      <c r="AI50" s="4"/>
      <c r="AJ50" s="4"/>
      <c r="AK50" s="4"/>
      <c r="AL50" s="4"/>
      <c r="AM50" s="4"/>
      <c r="AN50" s="4" t="str">
        <f>"     " &amp; TEXT(AB50,"#0.00%") &amp; " " &amp; "작품리스트 페이지" &amp; "(곽민수)" &amp; " " &amp; IF(M50="","",TEXT(M50,"M/D-")) &amp; IF(N50="","",TEXT(N50,"M/D")) &amp; " "</f>
        <v xml:space="preserve">     0.00% 작품리스트 페이지(곽민수) 4/5-4/6 </v>
      </c>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row>
    <row r="51" spans="1:189" ht="13.2" outlineLevel="5">
      <c r="A51" s="116"/>
      <c r="B51" s="116"/>
      <c r="C51" s="116">
        <v>6</v>
      </c>
      <c r="D51" s="3" t="s">
        <v>1201</v>
      </c>
      <c r="E51" s="184"/>
      <c r="F51" s="184"/>
      <c r="G51" s="216"/>
      <c r="H51" s="184"/>
      <c r="I51" s="216"/>
      <c r="J51" s="216" t="s">
        <v>1174</v>
      </c>
      <c r="K51" s="184"/>
      <c r="L51" s="184"/>
      <c r="M51" s="185">
        <v>43560</v>
      </c>
      <c r="N51" s="185">
        <v>43562</v>
      </c>
      <c r="O51" s="186"/>
      <c r="P51" s="187">
        <v>1</v>
      </c>
      <c r="Q51" s="187">
        <v>0</v>
      </c>
      <c r="R51" s="188">
        <v>1</v>
      </c>
      <c r="S51" s="188">
        <v>0</v>
      </c>
      <c r="T51" s="185"/>
      <c r="U51" s="185"/>
      <c r="V51" s="189"/>
      <c r="W51" s="190">
        <v>0</v>
      </c>
      <c r="X51" s="191">
        <v>1</v>
      </c>
      <c r="Y51" s="229" t="s">
        <v>1233</v>
      </c>
      <c r="Z51" s="192"/>
      <c r="AA51" s="97">
        <v>0</v>
      </c>
      <c r="AB51" s="193">
        <v>0</v>
      </c>
      <c r="AC51" s="123"/>
      <c r="AD51" s="4"/>
      <c r="AE51" s="4"/>
      <c r="AF51" s="4"/>
      <c r="AG51" s="4"/>
      <c r="AH51" s="4"/>
      <c r="AI51" s="4"/>
      <c r="AJ51" s="4"/>
      <c r="AK51" s="4"/>
      <c r="AL51" s="4"/>
      <c r="AM51" s="4"/>
      <c r="AN51" s="4" t="str">
        <f>"     " &amp; TEXT(AB51,"#0.00%") &amp; " " &amp; "작품 수익 페이지" &amp; "(한혜은)" &amp; " " &amp; IF(M51="","",TEXT(M51,"M/D-")) &amp; IF(N51="","",TEXT(N51,"M/D")) &amp; " "</f>
        <v xml:space="preserve">     0.00% 작품 수익 페이지(한혜은) 4/5-4/7 </v>
      </c>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row>
    <row r="52" spans="1:189" ht="13.2" outlineLevel="3">
      <c r="A52" s="116"/>
      <c r="B52" s="116" t="s">
        <v>996</v>
      </c>
      <c r="C52" s="116">
        <v>4</v>
      </c>
      <c r="D52" s="3" t="s">
        <v>1202</v>
      </c>
      <c r="E52" s="184"/>
      <c r="F52" s="184"/>
      <c r="G52" s="216"/>
      <c r="H52" s="216" t="s">
        <v>1175</v>
      </c>
      <c r="I52" s="216"/>
      <c r="J52" s="184"/>
      <c r="K52" s="184"/>
      <c r="L52" s="184"/>
      <c r="M52" s="185">
        <v>43563</v>
      </c>
      <c r="N52" s="185">
        <v>43572</v>
      </c>
      <c r="O52" s="186"/>
      <c r="P52" s="187">
        <v>14</v>
      </c>
      <c r="Q52" s="187">
        <v>0</v>
      </c>
      <c r="R52" s="188">
        <v>8</v>
      </c>
      <c r="S52" s="188">
        <v>0</v>
      </c>
      <c r="T52" s="185"/>
      <c r="U52" s="185"/>
      <c r="V52" s="189">
        <v>0</v>
      </c>
      <c r="W52" s="190">
        <v>0</v>
      </c>
      <c r="X52" s="191"/>
      <c r="Y52" s="186"/>
      <c r="Z52" s="192"/>
      <c r="AA52" s="97">
        <v>0</v>
      </c>
      <c r="AB52" s="193">
        <v>0</v>
      </c>
      <c r="AC52" s="123"/>
      <c r="AD52" s="4"/>
      <c r="AE52" s="4"/>
      <c r="AF52" s="4"/>
      <c r="AG52" s="4"/>
      <c r="AH52" s="4"/>
      <c r="AI52" s="4"/>
      <c r="AJ52" s="4"/>
      <c r="AK52" s="4"/>
      <c r="AL52" s="4"/>
      <c r="AM52" s="4"/>
      <c r="AN52" s="4"/>
      <c r="AO52" s="4" t="str">
        <f>" " &amp; TEXT(AB52,"#0.00%") &amp; " " &amp; "일러스트 스토어 관련" &amp; " " &amp; IF(M52="","",TEXT(M52,"M/D-")) &amp; IF(N52="","",TEXT(N52,"M/D")) &amp; " "</f>
        <v xml:space="preserve"> 0.00% 일러스트 스토어 관련 4/8-4/17 </v>
      </c>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row>
    <row r="53" spans="1:189" ht="13.2" outlineLevel="4">
      <c r="A53" s="116"/>
      <c r="B53" s="116" t="s">
        <v>996</v>
      </c>
      <c r="C53" s="116">
        <v>5</v>
      </c>
      <c r="D53" s="3" t="s">
        <v>1203</v>
      </c>
      <c r="E53" s="184"/>
      <c r="F53" s="184"/>
      <c r="G53" s="216"/>
      <c r="H53" s="216"/>
      <c r="I53" s="216" t="s">
        <v>1152</v>
      </c>
      <c r="J53" s="184"/>
      <c r="K53" s="184"/>
      <c r="L53" s="184"/>
      <c r="M53" s="185">
        <v>43563</v>
      </c>
      <c r="N53" s="185">
        <v>43572</v>
      </c>
      <c r="O53" s="186"/>
      <c r="P53" s="187">
        <v>7</v>
      </c>
      <c r="Q53" s="187">
        <v>0</v>
      </c>
      <c r="R53" s="188">
        <v>8</v>
      </c>
      <c r="S53" s="188">
        <v>0</v>
      </c>
      <c r="T53" s="185"/>
      <c r="U53" s="185"/>
      <c r="V53" s="189">
        <v>0</v>
      </c>
      <c r="W53" s="190">
        <v>0</v>
      </c>
      <c r="X53" s="191"/>
      <c r="Y53" s="186"/>
      <c r="Z53" s="192"/>
      <c r="AA53" s="97">
        <v>0</v>
      </c>
      <c r="AB53" s="193">
        <v>0</v>
      </c>
      <c r="AC53" s="123"/>
      <c r="AD53" s="4"/>
      <c r="AE53" s="4"/>
      <c r="AF53" s="4"/>
      <c r="AG53" s="4"/>
      <c r="AH53" s="4"/>
      <c r="AI53" s="4"/>
      <c r="AJ53" s="4"/>
      <c r="AK53" s="4"/>
      <c r="AL53" s="4"/>
      <c r="AM53" s="4"/>
      <c r="AN53" s="4"/>
      <c r="AO53" s="4" t="str">
        <f>" " &amp; TEXT(AB53,"#0.00%") &amp; " " &amp; "백엔드" &amp; " " &amp; IF(M53="","",TEXT(M53,"M/D-")) &amp; IF(N53="","",TEXT(N53,"M/D")) &amp; " "</f>
        <v xml:space="preserve"> 0.00% 백엔드 4/8-4/17 </v>
      </c>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row>
    <row r="54" spans="1:189" ht="13.2" outlineLevel="5">
      <c r="A54" s="116"/>
      <c r="B54" s="116"/>
      <c r="C54" s="116">
        <v>6</v>
      </c>
      <c r="D54" s="3" t="s">
        <v>1204</v>
      </c>
      <c r="E54" s="184"/>
      <c r="F54" s="184"/>
      <c r="G54" s="216"/>
      <c r="H54" s="184"/>
      <c r="I54" s="216"/>
      <c r="J54" s="224" t="s">
        <v>1176</v>
      </c>
      <c r="K54" s="184"/>
      <c r="L54" s="184"/>
      <c r="M54" s="185">
        <v>43563</v>
      </c>
      <c r="N54" s="185">
        <v>43564</v>
      </c>
      <c r="O54" s="186"/>
      <c r="P54" s="187">
        <v>2</v>
      </c>
      <c r="Q54" s="187">
        <v>0</v>
      </c>
      <c r="R54" s="188">
        <v>2</v>
      </c>
      <c r="S54" s="188">
        <v>0</v>
      </c>
      <c r="T54" s="185"/>
      <c r="U54" s="185"/>
      <c r="V54" s="189"/>
      <c r="W54" s="190">
        <v>0</v>
      </c>
      <c r="X54" s="191">
        <v>1</v>
      </c>
      <c r="Y54" s="229" t="s">
        <v>1241</v>
      </c>
      <c r="Z54" s="192"/>
      <c r="AA54" s="97">
        <v>0</v>
      </c>
      <c r="AB54" s="193">
        <v>0</v>
      </c>
      <c r="AC54" s="123"/>
      <c r="AD54" s="4"/>
      <c r="AE54" s="4"/>
      <c r="AF54" s="4"/>
      <c r="AG54" s="4"/>
      <c r="AH54" s="4"/>
      <c r="AI54" s="4"/>
      <c r="AJ54" s="4"/>
      <c r="AK54" s="4"/>
      <c r="AL54" s="4"/>
      <c r="AM54" s="4"/>
      <c r="AN54" s="4"/>
      <c r="AO54" s="4" t="str">
        <f>" " &amp; TEXT(AB54,"#0.00%") &amp; " " &amp; "일러스트 뷰어" &amp; "(김은채, 임홍기)" &amp; " " &amp; IF(M54="","",TEXT(M54,"M/D-")) &amp; IF(N54="","",TEXT(N54,"M/D")) &amp; " "</f>
        <v xml:space="preserve"> 0.00% 일러스트 뷰어(김은채, 임홍기) 4/8-4/9 </v>
      </c>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row>
    <row r="55" spans="1:189" ht="13.2" outlineLevel="5">
      <c r="A55" s="116"/>
      <c r="B55" s="116"/>
      <c r="C55" s="116">
        <v>6</v>
      </c>
      <c r="D55" s="3" t="s">
        <v>1205</v>
      </c>
      <c r="E55" s="184"/>
      <c r="F55" s="184"/>
      <c r="G55" s="216"/>
      <c r="H55" s="184"/>
      <c r="I55" s="216"/>
      <c r="J55" s="184" t="s">
        <v>1177</v>
      </c>
      <c r="K55" s="184"/>
      <c r="L55" s="184"/>
      <c r="M55" s="185">
        <v>43565</v>
      </c>
      <c r="N55" s="185">
        <v>43567</v>
      </c>
      <c r="O55" s="186"/>
      <c r="P55" s="187">
        <v>3</v>
      </c>
      <c r="Q55" s="187">
        <v>0</v>
      </c>
      <c r="R55" s="188">
        <v>3</v>
      </c>
      <c r="S55" s="188">
        <v>0</v>
      </c>
      <c r="T55" s="185"/>
      <c r="U55" s="185"/>
      <c r="V55" s="189"/>
      <c r="W55" s="190">
        <v>0</v>
      </c>
      <c r="X55" s="191">
        <v>1</v>
      </c>
      <c r="Y55" s="229" t="s">
        <v>1240</v>
      </c>
      <c r="Z55" s="192"/>
      <c r="AA55" s="97">
        <v>0</v>
      </c>
      <c r="AB55" s="193">
        <v>0</v>
      </c>
      <c r="AC55" s="123"/>
      <c r="AD55" s="4"/>
      <c r="AE55" s="4"/>
      <c r="AF55" s="4"/>
      <c r="AG55" s="4"/>
      <c r="AH55" s="4"/>
      <c r="AI55" s="4"/>
      <c r="AJ55" s="4"/>
      <c r="AK55" s="4"/>
      <c r="AL55" s="4"/>
      <c r="AM55" s="4"/>
      <c r="AN55" s="4"/>
      <c r="AO55" s="4" t="str">
        <f>"   " &amp; TEXT(AB55,"#0.00%") &amp; " " &amp; "일러스트 검색" &amp; "(박형진, 임홍기)" &amp; " " &amp; IF(M55="","",TEXT(M55,"M/D-")) &amp; IF(N55="","",TEXT(N55,"M/D")) &amp; " "</f>
        <v xml:space="preserve">   0.00% 일러스트 검색(박형진, 임홍기) 4/10-4/12 </v>
      </c>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row>
    <row r="56" spans="1:189" ht="13.2" outlineLevel="5">
      <c r="A56" s="116"/>
      <c r="B56" s="116"/>
      <c r="C56" s="116">
        <v>6</v>
      </c>
      <c r="D56" s="3" t="s">
        <v>1206</v>
      </c>
      <c r="E56" s="184"/>
      <c r="F56" s="184"/>
      <c r="G56" s="216"/>
      <c r="H56" s="184"/>
      <c r="I56" s="216"/>
      <c r="J56" s="184" t="s">
        <v>1178</v>
      </c>
      <c r="K56" s="184"/>
      <c r="L56" s="184"/>
      <c r="M56" s="185">
        <v>43568</v>
      </c>
      <c r="N56" s="185">
        <v>43569</v>
      </c>
      <c r="O56" s="186"/>
      <c r="P56" s="187">
        <v>0</v>
      </c>
      <c r="Q56" s="187">
        <v>0</v>
      </c>
      <c r="R56" s="188">
        <v>0</v>
      </c>
      <c r="S56" s="188">
        <v>0</v>
      </c>
      <c r="T56" s="185"/>
      <c r="U56" s="185"/>
      <c r="V56" s="189"/>
      <c r="W56" s="190">
        <v>0</v>
      </c>
      <c r="X56" s="191">
        <v>1</v>
      </c>
      <c r="Y56" s="229" t="s">
        <v>1241</v>
      </c>
      <c r="Z56" s="192"/>
      <c r="AA56" s="97">
        <v>0</v>
      </c>
      <c r="AB56" s="193">
        <v>0</v>
      </c>
      <c r="AC56" s="123"/>
      <c r="AD56" s="4"/>
      <c r="AE56" s="4"/>
      <c r="AF56" s="4"/>
      <c r="AG56" s="4"/>
      <c r="AH56" s="4"/>
      <c r="AI56" s="4"/>
      <c r="AJ56" s="4"/>
      <c r="AK56" s="4"/>
      <c r="AL56" s="4"/>
      <c r="AM56" s="4"/>
      <c r="AN56" s="4"/>
      <c r="AO56" s="4" t="str">
        <f>"      " &amp; TEXT(AB56,"#0.00%") &amp; " " &amp; "일러스트 구매" &amp; "(김은채, 임홍기)" &amp; " " &amp; IF(M56="","",TEXT(M56,"M/D-")) &amp; IF(N56="","",TEXT(N56,"M/D")) &amp; " "</f>
        <v xml:space="preserve">      0.00% 일러스트 구매(김은채, 임홍기) 4/13-4/14 </v>
      </c>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row>
    <row r="57" spans="1:189" ht="13.2" outlineLevel="5">
      <c r="A57" s="116"/>
      <c r="B57" s="116"/>
      <c r="C57" s="116">
        <v>6</v>
      </c>
      <c r="D57" s="3" t="s">
        <v>1207</v>
      </c>
      <c r="E57" s="184"/>
      <c r="F57" s="184"/>
      <c r="G57" s="216"/>
      <c r="H57" s="184"/>
      <c r="I57" s="216"/>
      <c r="J57" s="184" t="s">
        <v>1179</v>
      </c>
      <c r="K57" s="184"/>
      <c r="L57" s="184"/>
      <c r="M57" s="185">
        <v>43571</v>
      </c>
      <c r="N57" s="185">
        <v>43572</v>
      </c>
      <c r="O57" s="186"/>
      <c r="P57" s="187">
        <v>2</v>
      </c>
      <c r="Q57" s="187">
        <v>0</v>
      </c>
      <c r="R57" s="188">
        <v>2</v>
      </c>
      <c r="S57" s="188">
        <v>0</v>
      </c>
      <c r="T57" s="185"/>
      <c r="U57" s="185"/>
      <c r="V57" s="189"/>
      <c r="W57" s="190">
        <v>0</v>
      </c>
      <c r="X57" s="191">
        <v>1</v>
      </c>
      <c r="Y57" s="229" t="s">
        <v>1240</v>
      </c>
      <c r="Z57" s="192"/>
      <c r="AA57" s="97">
        <v>0</v>
      </c>
      <c r="AB57" s="193">
        <v>0</v>
      </c>
      <c r="AC57" s="123"/>
      <c r="AD57" s="4"/>
      <c r="AE57" s="4"/>
      <c r="AF57" s="4"/>
      <c r="AG57" s="4"/>
      <c r="AH57" s="4"/>
      <c r="AI57" s="4"/>
      <c r="AJ57" s="4"/>
      <c r="AK57" s="4"/>
      <c r="AL57" s="4"/>
      <c r="AM57" s="4"/>
      <c r="AN57" s="4"/>
      <c r="AO57" s="4"/>
      <c r="AP57" s="4" t="str">
        <f>"  " &amp; TEXT(AB57,"#0.00%") &amp; " " &amp; "일러스트 신청" &amp; "(박형진, 임홍기)" &amp; " " &amp; IF(M57="","",TEXT(M57,"M/D-")) &amp; IF(N57="","",TEXT(N57,"M/D")) &amp; " "</f>
        <v xml:space="preserve">  0.00% 일러스트 신청(박형진, 임홍기) 4/16-4/17 </v>
      </c>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c r="FF57" s="4"/>
      <c r="FG57" s="4"/>
      <c r="FH57" s="4"/>
      <c r="FI57" s="4"/>
      <c r="FJ57" s="4"/>
      <c r="FK57" s="4"/>
      <c r="FL57" s="4"/>
      <c r="FM57" s="4"/>
      <c r="FN57" s="4"/>
      <c r="FO57" s="4"/>
      <c r="FP57" s="4"/>
      <c r="FQ57" s="4"/>
      <c r="FR57" s="4"/>
      <c r="FS57" s="4"/>
      <c r="FT57" s="4"/>
      <c r="FU57" s="4"/>
      <c r="FV57" s="4"/>
      <c r="FW57" s="4"/>
      <c r="FX57" s="4"/>
      <c r="FY57" s="4"/>
      <c r="FZ57" s="4"/>
      <c r="GA57" s="4"/>
      <c r="GB57" s="4"/>
      <c r="GC57" s="4"/>
      <c r="GD57" s="4"/>
      <c r="GE57" s="4"/>
      <c r="GF57" s="4"/>
      <c r="GG57" s="4"/>
    </row>
    <row r="58" spans="1:189" ht="13.2" outlineLevel="4">
      <c r="A58" s="116"/>
      <c r="B58" s="116" t="s">
        <v>996</v>
      </c>
      <c r="C58" s="116">
        <v>5</v>
      </c>
      <c r="D58" s="3" t="s">
        <v>1208</v>
      </c>
      <c r="E58" s="184"/>
      <c r="F58" s="184"/>
      <c r="G58" s="216"/>
      <c r="H58" s="184"/>
      <c r="I58" s="216" t="s">
        <v>1153</v>
      </c>
      <c r="J58" s="184"/>
      <c r="K58" s="184"/>
      <c r="L58" s="184"/>
      <c r="M58" s="185">
        <v>43563</v>
      </c>
      <c r="N58" s="185">
        <v>43571</v>
      </c>
      <c r="O58" s="186"/>
      <c r="P58" s="187">
        <v>7</v>
      </c>
      <c r="Q58" s="187">
        <v>0</v>
      </c>
      <c r="R58" s="188">
        <v>7</v>
      </c>
      <c r="S58" s="188">
        <v>0</v>
      </c>
      <c r="T58" s="185"/>
      <c r="U58" s="185"/>
      <c r="V58" s="189">
        <v>0</v>
      </c>
      <c r="W58" s="190">
        <v>0</v>
      </c>
      <c r="X58" s="191"/>
      <c r="Y58" s="186"/>
      <c r="Z58" s="192"/>
      <c r="AA58" s="97">
        <v>0</v>
      </c>
      <c r="AB58" s="193">
        <v>0</v>
      </c>
      <c r="AC58" s="123"/>
      <c r="AD58" s="4"/>
      <c r="AE58" s="4"/>
      <c r="AF58" s="4"/>
      <c r="AG58" s="4"/>
      <c r="AH58" s="4"/>
      <c r="AI58" s="4"/>
      <c r="AJ58" s="4"/>
      <c r="AK58" s="4"/>
      <c r="AL58" s="4"/>
      <c r="AM58" s="4"/>
      <c r="AN58" s="4"/>
      <c r="AO58" s="4" t="str">
        <f>" " &amp; TEXT(AB58,"#0.00%") &amp; " " &amp; "프론트엔드" &amp; " " &amp; IF(M58="","",TEXT(M58,"M/D-")) &amp; IF(N58="","",TEXT(N58,"M/D")) &amp; " "</f>
        <v xml:space="preserve"> 0.00% 프론트엔드 4/8-4/16 </v>
      </c>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c r="FN58" s="4"/>
      <c r="FO58" s="4"/>
      <c r="FP58" s="4"/>
      <c r="FQ58" s="4"/>
      <c r="FR58" s="4"/>
      <c r="FS58" s="4"/>
      <c r="FT58" s="4"/>
      <c r="FU58" s="4"/>
      <c r="FV58" s="4"/>
      <c r="FW58" s="4"/>
      <c r="FX58" s="4"/>
      <c r="FY58" s="4"/>
      <c r="FZ58" s="4"/>
      <c r="GA58" s="4"/>
      <c r="GB58" s="4"/>
      <c r="GC58" s="4"/>
      <c r="GD58" s="4"/>
      <c r="GE58" s="4"/>
      <c r="GF58" s="4"/>
      <c r="GG58" s="4"/>
    </row>
    <row r="59" spans="1:189" ht="13.2" outlineLevel="5">
      <c r="A59" s="116"/>
      <c r="B59" s="116"/>
      <c r="C59" s="116">
        <v>6</v>
      </c>
      <c r="D59" s="3" t="s">
        <v>1209</v>
      </c>
      <c r="E59" s="184"/>
      <c r="F59" s="184"/>
      <c r="G59" s="216"/>
      <c r="H59" s="184"/>
      <c r="I59" s="216"/>
      <c r="J59" s="224" t="s">
        <v>1176</v>
      </c>
      <c r="K59" s="184"/>
      <c r="L59" s="184"/>
      <c r="M59" s="185">
        <v>43563</v>
      </c>
      <c r="N59" s="185">
        <v>43564</v>
      </c>
      <c r="O59" s="186"/>
      <c r="P59" s="187">
        <v>2</v>
      </c>
      <c r="Q59" s="187">
        <v>0</v>
      </c>
      <c r="R59" s="188">
        <v>2</v>
      </c>
      <c r="S59" s="188">
        <v>0</v>
      </c>
      <c r="T59" s="185"/>
      <c r="U59" s="185"/>
      <c r="V59" s="189"/>
      <c r="W59" s="190">
        <v>0</v>
      </c>
      <c r="X59" s="191">
        <v>1</v>
      </c>
      <c r="Y59" s="186" t="s">
        <v>1232</v>
      </c>
      <c r="Z59" s="192"/>
      <c r="AA59" s="97">
        <v>0</v>
      </c>
      <c r="AB59" s="193">
        <v>0</v>
      </c>
      <c r="AC59" s="123"/>
      <c r="AD59" s="4"/>
      <c r="AE59" s="4"/>
      <c r="AF59" s="4"/>
      <c r="AG59" s="4"/>
      <c r="AH59" s="4"/>
      <c r="AI59" s="4"/>
      <c r="AJ59" s="4"/>
      <c r="AK59" s="4"/>
      <c r="AL59" s="4"/>
      <c r="AM59" s="4"/>
      <c r="AN59" s="4"/>
      <c r="AO59" s="4" t="str">
        <f>" " &amp; TEXT(AB59,"#0.00%") &amp; " " &amp; "일러스트 뷰어" &amp; "(곽민수)" &amp; " " &amp; IF(M59="","",TEXT(M59,"M/D-")) &amp; IF(N59="","",TEXT(N59,"M/D")) &amp; " "</f>
        <v xml:space="preserve"> 0.00% 일러스트 뷰어(곽민수) 4/8-4/9 </v>
      </c>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c r="FF59" s="4"/>
      <c r="FG59" s="4"/>
      <c r="FH59" s="4"/>
      <c r="FI59" s="4"/>
      <c r="FJ59" s="4"/>
      <c r="FK59" s="4"/>
      <c r="FL59" s="4"/>
      <c r="FM59" s="4"/>
      <c r="FN59" s="4"/>
      <c r="FO59" s="4"/>
      <c r="FP59" s="4"/>
      <c r="FQ59" s="4"/>
      <c r="FR59" s="4"/>
      <c r="FS59" s="4"/>
      <c r="FT59" s="4"/>
      <c r="FU59" s="4"/>
      <c r="FV59" s="4"/>
      <c r="FW59" s="4"/>
      <c r="FX59" s="4"/>
      <c r="FY59" s="4"/>
      <c r="FZ59" s="4"/>
      <c r="GA59" s="4"/>
      <c r="GB59" s="4"/>
      <c r="GC59" s="4"/>
      <c r="GD59" s="4"/>
      <c r="GE59" s="4"/>
      <c r="GF59" s="4"/>
      <c r="GG59" s="4"/>
    </row>
    <row r="60" spans="1:189" ht="13.2" outlineLevel="5">
      <c r="A60" s="116"/>
      <c r="B60" s="116"/>
      <c r="C60" s="116">
        <v>6</v>
      </c>
      <c r="D60" s="3" t="s">
        <v>1210</v>
      </c>
      <c r="E60" s="184"/>
      <c r="F60" s="184"/>
      <c r="G60" s="216"/>
      <c r="H60" s="184"/>
      <c r="I60" s="216"/>
      <c r="J60" s="184" t="s">
        <v>1177</v>
      </c>
      <c r="K60" s="184"/>
      <c r="L60" s="184"/>
      <c r="M60" s="185">
        <v>43565</v>
      </c>
      <c r="N60" s="185">
        <v>43566</v>
      </c>
      <c r="O60" s="186"/>
      <c r="P60" s="187">
        <v>2</v>
      </c>
      <c r="Q60" s="187">
        <v>0</v>
      </c>
      <c r="R60" s="188">
        <v>2</v>
      </c>
      <c r="S60" s="188">
        <v>0</v>
      </c>
      <c r="T60" s="185"/>
      <c r="U60" s="185"/>
      <c r="V60" s="189"/>
      <c r="W60" s="190">
        <v>0</v>
      </c>
      <c r="X60" s="191">
        <v>1</v>
      </c>
      <c r="Y60" s="229" t="s">
        <v>1233</v>
      </c>
      <c r="Z60" s="192"/>
      <c r="AA60" s="97">
        <v>0</v>
      </c>
      <c r="AB60" s="193">
        <v>0</v>
      </c>
      <c r="AC60" s="123"/>
      <c r="AD60" s="4"/>
      <c r="AE60" s="4"/>
      <c r="AF60" s="4"/>
      <c r="AG60" s="4"/>
      <c r="AH60" s="4"/>
      <c r="AI60" s="4"/>
      <c r="AJ60" s="4"/>
      <c r="AK60" s="4"/>
      <c r="AL60" s="4"/>
      <c r="AM60" s="4"/>
      <c r="AN60" s="4"/>
      <c r="AO60" s="4" t="str">
        <f>"   " &amp; TEXT(AB60,"#0.00%") &amp; " " &amp; "일러스트 검색" &amp; "(한혜은)" &amp; " " &amp; IF(M60="","",TEXT(M60,"M/D-")) &amp; IF(N60="","",TEXT(N60,"M/D")) &amp; " "</f>
        <v xml:space="preserve">   0.00% 일러스트 검색(한혜은) 4/10-4/11 </v>
      </c>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c r="FN60" s="4"/>
      <c r="FO60" s="4"/>
      <c r="FP60" s="4"/>
      <c r="FQ60" s="4"/>
      <c r="FR60" s="4"/>
      <c r="FS60" s="4"/>
      <c r="FT60" s="4"/>
      <c r="FU60" s="4"/>
      <c r="FV60" s="4"/>
      <c r="FW60" s="4"/>
      <c r="FX60" s="4"/>
      <c r="FY60" s="4"/>
      <c r="FZ60" s="4"/>
      <c r="GA60" s="4"/>
      <c r="GB60" s="4"/>
      <c r="GC60" s="4"/>
      <c r="GD60" s="4"/>
      <c r="GE60" s="4"/>
      <c r="GF60" s="4"/>
      <c r="GG60" s="4"/>
    </row>
    <row r="61" spans="1:189" ht="13.2" outlineLevel="5">
      <c r="A61" s="116"/>
      <c r="B61" s="116"/>
      <c r="C61" s="116">
        <v>6</v>
      </c>
      <c r="D61" s="3" t="s">
        <v>1211</v>
      </c>
      <c r="E61" s="184"/>
      <c r="F61" s="184"/>
      <c r="G61" s="216"/>
      <c r="H61" s="184"/>
      <c r="I61" s="216"/>
      <c r="J61" s="184" t="s">
        <v>1178</v>
      </c>
      <c r="K61" s="184"/>
      <c r="L61" s="184"/>
      <c r="M61" s="185">
        <v>43567</v>
      </c>
      <c r="N61" s="185">
        <v>43568</v>
      </c>
      <c r="O61" s="186"/>
      <c r="P61" s="187">
        <v>1</v>
      </c>
      <c r="Q61" s="187">
        <v>0</v>
      </c>
      <c r="R61" s="188">
        <v>1</v>
      </c>
      <c r="S61" s="188">
        <v>0</v>
      </c>
      <c r="T61" s="185"/>
      <c r="U61" s="185"/>
      <c r="V61" s="189"/>
      <c r="W61" s="190">
        <v>0</v>
      </c>
      <c r="X61" s="191">
        <v>1</v>
      </c>
      <c r="Y61" s="229" t="s">
        <v>1232</v>
      </c>
      <c r="Z61" s="192"/>
      <c r="AA61" s="97">
        <v>0</v>
      </c>
      <c r="AB61" s="193">
        <v>0</v>
      </c>
      <c r="AC61" s="123"/>
      <c r="AD61" s="4"/>
      <c r="AE61" s="4"/>
      <c r="AF61" s="4"/>
      <c r="AG61" s="4"/>
      <c r="AH61" s="4"/>
      <c r="AI61" s="4"/>
      <c r="AJ61" s="4"/>
      <c r="AK61" s="4"/>
      <c r="AL61" s="4"/>
      <c r="AM61" s="4"/>
      <c r="AN61" s="4"/>
      <c r="AO61" s="4" t="str">
        <f>"     " &amp; TEXT(AB61,"#0.00%") &amp; " " &amp; "일러스트 구매" &amp; "(곽민수)" &amp; " " &amp; IF(M61="","",TEXT(M61,"M/D-")) &amp; IF(N61="","",TEXT(N61,"M/D")) &amp; " "</f>
        <v xml:space="preserve">     0.00% 일러스트 구매(곽민수) 4/12-4/13 </v>
      </c>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row>
    <row r="62" spans="1:189" ht="13.2" outlineLevel="5">
      <c r="A62" s="116"/>
      <c r="B62" s="116"/>
      <c r="C62" s="116">
        <v>6</v>
      </c>
      <c r="D62" s="3" t="s">
        <v>1212</v>
      </c>
      <c r="E62" s="184"/>
      <c r="F62" s="184"/>
      <c r="G62" s="216"/>
      <c r="H62" s="184"/>
      <c r="I62" s="216"/>
      <c r="J62" s="184" t="s">
        <v>1179</v>
      </c>
      <c r="K62" s="184"/>
      <c r="L62" s="184"/>
      <c r="M62" s="185">
        <v>43570</v>
      </c>
      <c r="N62" s="185">
        <v>43571</v>
      </c>
      <c r="O62" s="186"/>
      <c r="P62" s="187">
        <v>2</v>
      </c>
      <c r="Q62" s="187">
        <v>0</v>
      </c>
      <c r="R62" s="188">
        <v>2</v>
      </c>
      <c r="S62" s="188">
        <v>0</v>
      </c>
      <c r="T62" s="185"/>
      <c r="U62" s="185"/>
      <c r="V62" s="189"/>
      <c r="W62" s="190">
        <v>0</v>
      </c>
      <c r="X62" s="191">
        <v>1</v>
      </c>
      <c r="Y62" s="229" t="s">
        <v>1233</v>
      </c>
      <c r="Z62" s="192"/>
      <c r="AA62" s="97">
        <v>0</v>
      </c>
      <c r="AB62" s="193">
        <v>0</v>
      </c>
      <c r="AC62" s="123"/>
      <c r="AD62" s="4"/>
      <c r="AE62" s="4"/>
      <c r="AF62" s="4"/>
      <c r="AG62" s="4"/>
      <c r="AH62" s="4"/>
      <c r="AI62" s="4"/>
      <c r="AJ62" s="4"/>
      <c r="AK62" s="4"/>
      <c r="AL62" s="4"/>
      <c r="AM62" s="4"/>
      <c r="AN62" s="4"/>
      <c r="AO62" s="4"/>
      <c r="AP62" s="4" t="str">
        <f>" " &amp; TEXT(AB62,"#0.00%") &amp; " " &amp; "일러스트 신청" &amp; "(한혜은)" &amp; " " &amp; IF(M62="","",TEXT(M62,"M/D-")) &amp; IF(N62="","",TEXT(N62,"M/D")) &amp; " "</f>
        <v xml:space="preserve"> 0.00% 일러스트 신청(한혜은) 4/15-4/16 </v>
      </c>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c r="FF62" s="4"/>
      <c r="FG62" s="4"/>
      <c r="FH62" s="4"/>
      <c r="FI62" s="4"/>
      <c r="FJ62" s="4"/>
      <c r="FK62" s="4"/>
      <c r="FL62" s="4"/>
      <c r="FM62" s="4"/>
      <c r="FN62" s="4"/>
      <c r="FO62" s="4"/>
      <c r="FP62" s="4"/>
      <c r="FQ62" s="4"/>
      <c r="FR62" s="4"/>
      <c r="FS62" s="4"/>
      <c r="FT62" s="4"/>
      <c r="FU62" s="4"/>
      <c r="FV62" s="4"/>
      <c r="FW62" s="4"/>
      <c r="FX62" s="4"/>
      <c r="FY62" s="4"/>
      <c r="FZ62" s="4"/>
      <c r="GA62" s="4"/>
      <c r="GB62" s="4"/>
      <c r="GC62" s="4"/>
      <c r="GD62" s="4"/>
      <c r="GE62" s="4"/>
      <c r="GF62" s="4"/>
      <c r="GG62" s="4"/>
    </row>
    <row r="63" spans="1:189" ht="13.2" outlineLevel="3">
      <c r="A63" s="116"/>
      <c r="B63" s="116" t="s">
        <v>996</v>
      </c>
      <c r="C63" s="116">
        <v>4</v>
      </c>
      <c r="D63" s="3" t="s">
        <v>1213</v>
      </c>
      <c r="E63" s="184"/>
      <c r="F63" s="184"/>
      <c r="G63" s="216"/>
      <c r="H63" s="217" t="s">
        <v>1180</v>
      </c>
      <c r="I63" s="216"/>
      <c r="J63" s="184"/>
      <c r="K63" s="184"/>
      <c r="L63" s="184"/>
      <c r="M63" s="185">
        <v>43571</v>
      </c>
      <c r="N63" s="185">
        <v>43587</v>
      </c>
      <c r="O63" s="186"/>
      <c r="P63" s="187">
        <v>20</v>
      </c>
      <c r="Q63" s="187">
        <v>0</v>
      </c>
      <c r="R63" s="188">
        <v>13</v>
      </c>
      <c r="S63" s="188">
        <v>0</v>
      </c>
      <c r="T63" s="185"/>
      <c r="U63" s="185"/>
      <c r="V63" s="189">
        <v>0</v>
      </c>
      <c r="W63" s="190">
        <v>0</v>
      </c>
      <c r="X63" s="191"/>
      <c r="Y63" s="186"/>
      <c r="Z63" s="192"/>
      <c r="AA63" s="97">
        <v>0</v>
      </c>
      <c r="AB63" s="193">
        <v>0</v>
      </c>
      <c r="AC63" s="123"/>
      <c r="AD63" s="4"/>
      <c r="AE63" s="4"/>
      <c r="AF63" s="4"/>
      <c r="AG63" s="4"/>
      <c r="AH63" s="4"/>
      <c r="AI63" s="4"/>
      <c r="AJ63" s="4"/>
      <c r="AK63" s="4"/>
      <c r="AL63" s="4"/>
      <c r="AM63" s="4"/>
      <c r="AN63" s="4"/>
      <c r="AO63" s="4"/>
      <c r="AP63" s="4" t="str">
        <f>"  " &amp; TEXT(AB63,"#0.00%") &amp; " " &amp; "작업방" &amp; " " &amp; IF(M63="","",TEXT(M63,"M/D-")) &amp; IF(N63="","",TEXT(N63,"M/D")) &amp; " "</f>
        <v xml:space="preserve">  0.00% 작업방 4/16-5/2 </v>
      </c>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c r="FF63" s="4"/>
      <c r="FG63" s="4"/>
      <c r="FH63" s="4"/>
      <c r="FI63" s="4"/>
      <c r="FJ63" s="4"/>
      <c r="FK63" s="4"/>
      <c r="FL63" s="4"/>
      <c r="FM63" s="4"/>
      <c r="FN63" s="4"/>
      <c r="FO63" s="4"/>
      <c r="FP63" s="4"/>
      <c r="FQ63" s="4"/>
      <c r="FR63" s="4"/>
      <c r="FS63" s="4"/>
      <c r="FT63" s="4"/>
      <c r="FU63" s="4"/>
      <c r="FV63" s="4"/>
      <c r="FW63" s="4"/>
      <c r="FX63" s="4"/>
      <c r="FY63" s="4"/>
      <c r="FZ63" s="4"/>
      <c r="GA63" s="4"/>
      <c r="GB63" s="4"/>
      <c r="GC63" s="4"/>
      <c r="GD63" s="4"/>
      <c r="GE63" s="4"/>
      <c r="GF63" s="4"/>
      <c r="GG63" s="4"/>
    </row>
    <row r="64" spans="1:189" ht="13.2" outlineLevel="4">
      <c r="A64" s="116"/>
      <c r="B64" s="116" t="s">
        <v>996</v>
      </c>
      <c r="C64" s="116">
        <v>5</v>
      </c>
      <c r="D64" s="3" t="s">
        <v>1214</v>
      </c>
      <c r="E64" s="184"/>
      <c r="F64" s="184"/>
      <c r="G64" s="216"/>
      <c r="H64" s="217"/>
      <c r="I64" s="216" t="s">
        <v>1152</v>
      </c>
      <c r="J64" s="184"/>
      <c r="K64" s="184"/>
      <c r="L64" s="184"/>
      <c r="M64" s="185">
        <v>43577</v>
      </c>
      <c r="N64" s="185">
        <v>43587</v>
      </c>
      <c r="O64" s="186"/>
      <c r="P64" s="187">
        <v>9</v>
      </c>
      <c r="Q64" s="187">
        <v>0</v>
      </c>
      <c r="R64" s="188">
        <v>9</v>
      </c>
      <c r="S64" s="188">
        <v>0</v>
      </c>
      <c r="T64" s="185"/>
      <c r="U64" s="185"/>
      <c r="V64" s="189">
        <v>0</v>
      </c>
      <c r="W64" s="190">
        <v>0</v>
      </c>
      <c r="X64" s="191"/>
      <c r="Y64" s="186"/>
      <c r="Z64" s="192"/>
      <c r="AA64" s="97">
        <v>0</v>
      </c>
      <c r="AB64" s="193">
        <v>0</v>
      </c>
      <c r="AC64" s="123"/>
      <c r="AD64" s="4"/>
      <c r="AE64" s="4"/>
      <c r="AF64" s="4"/>
      <c r="AG64" s="4"/>
      <c r="AH64" s="4"/>
      <c r="AI64" s="4"/>
      <c r="AJ64" s="4"/>
      <c r="AK64" s="4"/>
      <c r="AL64" s="4"/>
      <c r="AM64" s="4"/>
      <c r="AN64" s="4"/>
      <c r="AO64" s="4"/>
      <c r="AP64" s="4"/>
      <c r="AQ64" s="4" t="str">
        <f>" " &amp; TEXT(AB64,"#0.00%") &amp; " " &amp; "백엔드" &amp; " " &amp; IF(M64="","",TEXT(M64,"M/D-")) &amp; IF(N64="","",TEXT(N64,"M/D")) &amp; " "</f>
        <v xml:space="preserve"> 0.00% 백엔드 4/22-5/2 </v>
      </c>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c r="FF64" s="4"/>
      <c r="FG64" s="4"/>
      <c r="FH64" s="4"/>
      <c r="FI64" s="4"/>
      <c r="FJ64" s="4"/>
      <c r="FK64" s="4"/>
      <c r="FL64" s="4"/>
      <c r="FM64" s="4"/>
      <c r="FN64" s="4"/>
      <c r="FO64" s="4"/>
      <c r="FP64" s="4"/>
      <c r="FQ64" s="4"/>
      <c r="FR64" s="4"/>
      <c r="FS64" s="4"/>
      <c r="FT64" s="4"/>
      <c r="FU64" s="4"/>
      <c r="FV64" s="4"/>
      <c r="FW64" s="4"/>
      <c r="FX64" s="4"/>
      <c r="FY64" s="4"/>
      <c r="FZ64" s="4"/>
      <c r="GA64" s="4"/>
      <c r="GB64" s="4"/>
      <c r="GC64" s="4"/>
      <c r="GD64" s="4"/>
      <c r="GE64" s="4"/>
      <c r="GF64" s="4"/>
      <c r="GG64" s="4"/>
    </row>
    <row r="65" spans="1:189" ht="13.2" outlineLevel="5">
      <c r="A65" s="116"/>
      <c r="B65" s="116"/>
      <c r="C65" s="116">
        <v>6</v>
      </c>
      <c r="D65" s="3" t="s">
        <v>1215</v>
      </c>
      <c r="E65" s="184"/>
      <c r="F65" s="184"/>
      <c r="G65" s="216"/>
      <c r="H65" s="184"/>
      <c r="I65" s="216"/>
      <c r="J65" s="184" t="s">
        <v>1172</v>
      </c>
      <c r="K65" s="184"/>
      <c r="L65" s="184"/>
      <c r="M65" s="185">
        <v>43577</v>
      </c>
      <c r="N65" s="185">
        <v>43578</v>
      </c>
      <c r="O65" s="186"/>
      <c r="P65" s="187">
        <v>2</v>
      </c>
      <c r="Q65" s="187">
        <v>0</v>
      </c>
      <c r="R65" s="188">
        <v>2</v>
      </c>
      <c r="S65" s="188">
        <v>0</v>
      </c>
      <c r="T65" s="185"/>
      <c r="U65" s="185"/>
      <c r="V65" s="189"/>
      <c r="W65" s="190">
        <v>0</v>
      </c>
      <c r="X65" s="191">
        <v>1</v>
      </c>
      <c r="Y65" s="229" t="s">
        <v>1240</v>
      </c>
      <c r="Z65" s="192"/>
      <c r="AA65" s="97">
        <v>0</v>
      </c>
      <c r="AB65" s="193">
        <v>0</v>
      </c>
      <c r="AC65" s="123"/>
      <c r="AD65" s="4"/>
      <c r="AE65" s="4"/>
      <c r="AF65" s="4"/>
      <c r="AG65" s="4"/>
      <c r="AH65" s="4"/>
      <c r="AI65" s="4"/>
      <c r="AJ65" s="4"/>
      <c r="AK65" s="4"/>
      <c r="AL65" s="4"/>
      <c r="AM65" s="4"/>
      <c r="AN65" s="4"/>
      <c r="AO65" s="4"/>
      <c r="AP65" s="4"/>
      <c r="AQ65" s="4" t="str">
        <f>" " &amp; TEXT(AB65,"#0.00%") &amp; " " &amp; "작품 수익" &amp; "(박형진, 임홍기)" &amp; " " &amp; IF(M65="","",TEXT(M65,"M/D-")) &amp; IF(N65="","",TEXT(N65,"M/D")) &amp; " "</f>
        <v xml:space="preserve"> 0.00% 작품 수익(박형진, 임홍기) 4/22-4/23 </v>
      </c>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c r="FF65" s="4"/>
      <c r="FG65" s="4"/>
      <c r="FH65" s="4"/>
      <c r="FI65" s="4"/>
      <c r="FJ65" s="4"/>
      <c r="FK65" s="4"/>
      <c r="FL65" s="4"/>
      <c r="FM65" s="4"/>
      <c r="FN65" s="4"/>
      <c r="FO65" s="4"/>
      <c r="FP65" s="4"/>
      <c r="FQ65" s="4"/>
      <c r="FR65" s="4"/>
      <c r="FS65" s="4"/>
      <c r="FT65" s="4"/>
      <c r="FU65" s="4"/>
      <c r="FV65" s="4"/>
      <c r="FW65" s="4"/>
      <c r="FX65" s="4"/>
      <c r="FY65" s="4"/>
      <c r="FZ65" s="4"/>
      <c r="GA65" s="4"/>
      <c r="GB65" s="4"/>
      <c r="GC65" s="4"/>
      <c r="GD65" s="4"/>
      <c r="GE65" s="4"/>
      <c r="GF65" s="4"/>
      <c r="GG65" s="4"/>
    </row>
    <row r="66" spans="1:189" ht="13.2" outlineLevel="5">
      <c r="A66" s="116"/>
      <c r="B66" s="116"/>
      <c r="C66" s="116">
        <v>6</v>
      </c>
      <c r="D66" s="3" t="s">
        <v>1216</v>
      </c>
      <c r="E66" s="184"/>
      <c r="F66" s="184"/>
      <c r="G66" s="216"/>
      <c r="H66" s="184"/>
      <c r="I66" s="216"/>
      <c r="J66" s="224" t="s">
        <v>1182</v>
      </c>
      <c r="K66" s="184"/>
      <c r="L66" s="184"/>
      <c r="M66" s="185">
        <v>43579</v>
      </c>
      <c r="N66" s="185">
        <v>43581</v>
      </c>
      <c r="O66" s="186"/>
      <c r="P66" s="187">
        <v>3</v>
      </c>
      <c r="Q66" s="187">
        <v>0</v>
      </c>
      <c r="R66" s="188">
        <v>3</v>
      </c>
      <c r="S66" s="188">
        <v>0</v>
      </c>
      <c r="T66" s="185"/>
      <c r="U66" s="185"/>
      <c r="V66" s="189"/>
      <c r="W66" s="190">
        <v>0</v>
      </c>
      <c r="X66" s="191">
        <v>1</v>
      </c>
      <c r="Y66" s="229" t="s">
        <v>1241</v>
      </c>
      <c r="Z66" s="192"/>
      <c r="AA66" s="97">
        <v>0</v>
      </c>
      <c r="AB66" s="193">
        <v>0</v>
      </c>
      <c r="AC66" s="123"/>
      <c r="AD66" s="4"/>
      <c r="AE66" s="4"/>
      <c r="AF66" s="4"/>
      <c r="AG66" s="4"/>
      <c r="AH66" s="4"/>
      <c r="AI66" s="4"/>
      <c r="AJ66" s="4"/>
      <c r="AK66" s="4"/>
      <c r="AL66" s="4"/>
      <c r="AM66" s="4"/>
      <c r="AN66" s="4"/>
      <c r="AO66" s="4"/>
      <c r="AP66" s="4"/>
      <c r="AQ66" s="4" t="str">
        <f>"   " &amp; TEXT(AB66,"#0.00%") &amp; " " &amp; "코멘트,리뷰" &amp; "(김은채, 임홍기)" &amp; " " &amp; IF(M66="","",TEXT(M66,"M/D-")) &amp; IF(N66="","",TEXT(N66,"M/D")) &amp; " "</f>
        <v xml:space="preserve">   0.00% 코멘트,리뷰(김은채, 임홍기) 4/24-4/26 </v>
      </c>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row>
    <row r="67" spans="1:189" ht="13.2" outlineLevel="5">
      <c r="A67" s="116"/>
      <c r="B67" s="116"/>
      <c r="C67" s="116">
        <v>6</v>
      </c>
      <c r="D67" s="3" t="s">
        <v>1217</v>
      </c>
      <c r="E67" s="184"/>
      <c r="F67" s="184"/>
      <c r="G67" s="216"/>
      <c r="H67" s="184"/>
      <c r="I67" s="216"/>
      <c r="J67" s="184" t="s">
        <v>1183</v>
      </c>
      <c r="K67" s="184"/>
      <c r="L67" s="184"/>
      <c r="M67" s="185">
        <v>43584</v>
      </c>
      <c r="N67" s="185">
        <v>43587</v>
      </c>
      <c r="O67" s="186"/>
      <c r="P67" s="187">
        <v>4</v>
      </c>
      <c r="Q67" s="187">
        <v>0</v>
      </c>
      <c r="R67" s="188">
        <v>4</v>
      </c>
      <c r="S67" s="188">
        <v>0</v>
      </c>
      <c r="T67" s="185"/>
      <c r="U67" s="185"/>
      <c r="V67" s="189"/>
      <c r="W67" s="190">
        <v>0</v>
      </c>
      <c r="X67" s="191">
        <v>1</v>
      </c>
      <c r="Y67" s="229" t="s">
        <v>1242</v>
      </c>
      <c r="Z67" s="192"/>
      <c r="AA67" s="97">
        <v>0</v>
      </c>
      <c r="AB67" s="193">
        <v>0</v>
      </c>
      <c r="AC67" s="123"/>
      <c r="AD67" s="4"/>
      <c r="AE67" s="4"/>
      <c r="AF67" s="4"/>
      <c r="AG67" s="4"/>
      <c r="AH67" s="4"/>
      <c r="AI67" s="4"/>
      <c r="AJ67" s="4"/>
      <c r="AK67" s="4"/>
      <c r="AL67" s="4"/>
      <c r="AM67" s="4"/>
      <c r="AN67" s="4"/>
      <c r="AO67" s="4"/>
      <c r="AP67" s="4"/>
      <c r="AQ67" s="4"/>
      <c r="AR67" s="4" t="str">
        <f>" " &amp; TEXT(AB67,"#0.00%") &amp; " " &amp; "조회수, 추천수 관리" &amp; "(박형진, 김은채, 임홍기)" &amp; " " &amp; IF(M67="","",TEXT(M67,"M/D-")) &amp; IF(N67="","",TEXT(N67,"M/D")) &amp; " "</f>
        <v xml:space="preserve"> 0.00% 조회수, 추천수 관리(박형진, 김은채, 임홍기) 4/29-5/2 </v>
      </c>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c r="FF67" s="4"/>
      <c r="FG67" s="4"/>
      <c r="FH67" s="4"/>
      <c r="FI67" s="4"/>
      <c r="FJ67" s="4"/>
      <c r="FK67" s="4"/>
      <c r="FL67" s="4"/>
      <c r="FM67" s="4"/>
      <c r="FN67" s="4"/>
      <c r="FO67" s="4"/>
      <c r="FP67" s="4"/>
      <c r="FQ67" s="4"/>
      <c r="FR67" s="4"/>
      <c r="FS67" s="4"/>
      <c r="FT67" s="4"/>
      <c r="FU67" s="4"/>
      <c r="FV67" s="4"/>
      <c r="FW67" s="4"/>
      <c r="FX67" s="4"/>
      <c r="FY67" s="4"/>
      <c r="FZ67" s="4"/>
      <c r="GA67" s="4"/>
      <c r="GB67" s="4"/>
      <c r="GC67" s="4"/>
      <c r="GD67" s="4"/>
      <c r="GE67" s="4"/>
      <c r="GF67" s="4"/>
      <c r="GG67" s="4"/>
    </row>
    <row r="68" spans="1:189" ht="13.2" outlineLevel="4">
      <c r="A68" s="116"/>
      <c r="B68" s="116" t="s">
        <v>996</v>
      </c>
      <c r="C68" s="116">
        <v>5</v>
      </c>
      <c r="D68" s="3" t="s">
        <v>1218</v>
      </c>
      <c r="E68" s="184"/>
      <c r="F68" s="184"/>
      <c r="G68" s="216"/>
      <c r="H68" s="184"/>
      <c r="I68" s="216" t="s">
        <v>1153</v>
      </c>
      <c r="J68" s="184"/>
      <c r="K68" s="184"/>
      <c r="L68" s="184"/>
      <c r="M68" s="185">
        <v>43571</v>
      </c>
      <c r="N68" s="185">
        <v>43581</v>
      </c>
      <c r="O68" s="186"/>
      <c r="P68" s="187">
        <v>11</v>
      </c>
      <c r="Q68" s="187">
        <v>0</v>
      </c>
      <c r="R68" s="188">
        <v>9</v>
      </c>
      <c r="S68" s="188">
        <v>0</v>
      </c>
      <c r="T68" s="185"/>
      <c r="U68" s="185"/>
      <c r="V68" s="189">
        <v>0</v>
      </c>
      <c r="W68" s="190">
        <v>0</v>
      </c>
      <c r="X68" s="191"/>
      <c r="Y68" s="186"/>
      <c r="Z68" s="192"/>
      <c r="AA68" s="97">
        <v>0</v>
      </c>
      <c r="AB68" s="193">
        <v>0</v>
      </c>
      <c r="AC68" s="123"/>
      <c r="AD68" s="4"/>
      <c r="AE68" s="4"/>
      <c r="AF68" s="4"/>
      <c r="AG68" s="4"/>
      <c r="AH68" s="4"/>
      <c r="AI68" s="4"/>
      <c r="AJ68" s="4"/>
      <c r="AK68" s="4"/>
      <c r="AL68" s="4"/>
      <c r="AM68" s="4"/>
      <c r="AN68" s="4"/>
      <c r="AO68" s="4"/>
      <c r="AP68" s="4" t="str">
        <f>"  " &amp; TEXT(AB68,"#0.00%") &amp; " " &amp; "프론트엔드" &amp; " " &amp; IF(M68="","",TEXT(M68,"M/D-")) &amp; IF(N68="","",TEXT(N68,"M/D")) &amp; " "</f>
        <v xml:space="preserve">  0.00% 프론트엔드 4/16-4/26 </v>
      </c>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c r="FF68" s="4"/>
      <c r="FG68" s="4"/>
      <c r="FH68" s="4"/>
      <c r="FI68" s="4"/>
      <c r="FJ68" s="4"/>
      <c r="FK68" s="4"/>
      <c r="FL68" s="4"/>
      <c r="FM68" s="4"/>
      <c r="FN68" s="4"/>
      <c r="FO68" s="4"/>
      <c r="FP68" s="4"/>
      <c r="FQ68" s="4"/>
      <c r="FR68" s="4"/>
      <c r="FS68" s="4"/>
      <c r="FT68" s="4"/>
      <c r="FU68" s="4"/>
      <c r="FV68" s="4"/>
      <c r="FW68" s="4"/>
      <c r="FX68" s="4"/>
      <c r="FY68" s="4"/>
      <c r="FZ68" s="4"/>
      <c r="GA68" s="4"/>
      <c r="GB68" s="4"/>
      <c r="GC68" s="4"/>
      <c r="GD68" s="4"/>
      <c r="GE68" s="4"/>
      <c r="GF68" s="4"/>
      <c r="GG68" s="4"/>
    </row>
    <row r="69" spans="1:189" ht="13.2" outlineLevel="5">
      <c r="A69" s="116"/>
      <c r="B69" s="116"/>
      <c r="C69" s="116">
        <v>6</v>
      </c>
      <c r="D69" s="3" t="s">
        <v>1219</v>
      </c>
      <c r="E69" s="184"/>
      <c r="F69" s="184"/>
      <c r="G69" s="216"/>
      <c r="H69" s="184"/>
      <c r="I69" s="216"/>
      <c r="J69" s="224" t="s">
        <v>1184</v>
      </c>
      <c r="K69" s="184"/>
      <c r="L69" s="184"/>
      <c r="M69" s="185">
        <v>43571</v>
      </c>
      <c r="N69" s="185">
        <v>43574</v>
      </c>
      <c r="O69" s="186"/>
      <c r="P69" s="187">
        <v>4</v>
      </c>
      <c r="Q69" s="187">
        <v>0</v>
      </c>
      <c r="R69" s="188">
        <v>4</v>
      </c>
      <c r="S69" s="188">
        <v>0</v>
      </c>
      <c r="T69" s="185"/>
      <c r="U69" s="185"/>
      <c r="V69" s="189"/>
      <c r="W69" s="190">
        <v>0</v>
      </c>
      <c r="X69" s="191">
        <v>1</v>
      </c>
      <c r="Y69" s="229" t="s">
        <v>1232</v>
      </c>
      <c r="Z69" s="192"/>
      <c r="AA69" s="97">
        <v>0</v>
      </c>
      <c r="AB69" s="193">
        <v>0</v>
      </c>
      <c r="AC69" s="123"/>
      <c r="AD69" s="4"/>
      <c r="AE69" s="4"/>
      <c r="AF69" s="4"/>
      <c r="AG69" s="4"/>
      <c r="AH69" s="4"/>
      <c r="AI69" s="4"/>
      <c r="AJ69" s="4"/>
      <c r="AK69" s="4"/>
      <c r="AL69" s="4"/>
      <c r="AM69" s="4"/>
      <c r="AN69" s="4"/>
      <c r="AO69" s="4"/>
      <c r="AP69" s="4" t="str">
        <f>"  " &amp; TEXT(AB69,"#0.00%") &amp; " " &amp; "채팅방 페이지" &amp; "(곽민수)" &amp; " " &amp; IF(M69="","",TEXT(M69,"M/D-")) &amp; IF(N69="","",TEXT(N69,"M/D")) &amp; " "</f>
        <v xml:space="preserve">  0.00% 채팅방 페이지(곽민수) 4/16-4/19 </v>
      </c>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row>
    <row r="70" spans="1:189" ht="13.2" outlineLevel="5">
      <c r="A70" s="116"/>
      <c r="B70" s="116"/>
      <c r="C70" s="116">
        <v>6</v>
      </c>
      <c r="D70" s="3" t="s">
        <v>1220</v>
      </c>
      <c r="E70" s="184"/>
      <c r="F70" s="184"/>
      <c r="G70" s="216"/>
      <c r="H70" s="184"/>
      <c r="I70" s="216"/>
      <c r="J70" s="217" t="s">
        <v>1174</v>
      </c>
      <c r="K70" s="184"/>
      <c r="L70" s="184"/>
      <c r="M70" s="185">
        <v>43574</v>
      </c>
      <c r="N70" s="185">
        <v>43578</v>
      </c>
      <c r="O70" s="186"/>
      <c r="P70" s="187">
        <v>3</v>
      </c>
      <c r="Q70" s="187">
        <v>0</v>
      </c>
      <c r="R70" s="188">
        <v>3</v>
      </c>
      <c r="S70" s="188">
        <v>0</v>
      </c>
      <c r="T70" s="185"/>
      <c r="U70" s="185"/>
      <c r="V70" s="189"/>
      <c r="W70" s="190">
        <v>0</v>
      </c>
      <c r="X70" s="191">
        <v>1</v>
      </c>
      <c r="Y70" s="229" t="s">
        <v>1233</v>
      </c>
      <c r="Z70" s="192"/>
      <c r="AA70" s="97">
        <v>0</v>
      </c>
      <c r="AB70" s="193">
        <v>0</v>
      </c>
      <c r="AC70" s="123"/>
      <c r="AD70" s="4"/>
      <c r="AE70" s="4"/>
      <c r="AF70" s="4"/>
      <c r="AG70" s="4"/>
      <c r="AH70" s="4"/>
      <c r="AI70" s="4"/>
      <c r="AJ70" s="4"/>
      <c r="AK70" s="4"/>
      <c r="AL70" s="4"/>
      <c r="AM70" s="4"/>
      <c r="AN70" s="4"/>
      <c r="AO70" s="4"/>
      <c r="AP70" s="4" t="str">
        <f>"     " &amp; TEXT(AB70,"#0.00%") &amp; " " &amp; "작품 수익 페이지" &amp; "(한혜은)" &amp; " " &amp; IF(M70="","",TEXT(M70,"M/D-")) &amp; IF(N70="","",TEXT(N70,"M/D")) &amp; " "</f>
        <v xml:space="preserve">     0.00% 작품 수익 페이지(한혜은) 4/19-4/23 </v>
      </c>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row>
    <row r="71" spans="1:189" ht="13.2" outlineLevel="5">
      <c r="A71" s="116"/>
      <c r="B71" s="116"/>
      <c r="C71" s="116">
        <v>6</v>
      </c>
      <c r="D71" s="3" t="s">
        <v>1221</v>
      </c>
      <c r="E71" s="184"/>
      <c r="F71" s="184"/>
      <c r="G71" s="216"/>
      <c r="H71" s="184"/>
      <c r="I71" s="216"/>
      <c r="J71" s="184" t="s">
        <v>1185</v>
      </c>
      <c r="K71" s="184"/>
      <c r="L71" s="184"/>
      <c r="M71" s="185">
        <v>43578</v>
      </c>
      <c r="N71" s="185">
        <v>43581</v>
      </c>
      <c r="O71" s="186"/>
      <c r="P71" s="187">
        <v>4</v>
      </c>
      <c r="Q71" s="187">
        <v>0</v>
      </c>
      <c r="R71" s="188">
        <v>4</v>
      </c>
      <c r="S71" s="188">
        <v>0</v>
      </c>
      <c r="T71" s="185"/>
      <c r="U71" s="185"/>
      <c r="V71" s="189"/>
      <c r="W71" s="190">
        <v>0</v>
      </c>
      <c r="X71" s="191">
        <v>1</v>
      </c>
      <c r="Y71" s="229" t="s">
        <v>1232</v>
      </c>
      <c r="Z71" s="192"/>
      <c r="AA71" s="97">
        <v>0</v>
      </c>
      <c r="AB71" s="193">
        <v>0</v>
      </c>
      <c r="AC71" s="123"/>
      <c r="AD71" s="4"/>
      <c r="AE71" s="4"/>
      <c r="AF71" s="4"/>
      <c r="AG71" s="4"/>
      <c r="AH71" s="4"/>
      <c r="AI71" s="4"/>
      <c r="AJ71" s="4"/>
      <c r="AK71" s="4"/>
      <c r="AL71" s="4"/>
      <c r="AM71" s="4"/>
      <c r="AN71" s="4"/>
      <c r="AO71" s="4"/>
      <c r="AP71" s="4"/>
      <c r="AQ71" s="4" t="str">
        <f>"  " &amp; TEXT(AB71,"#0.00%") &amp; " " &amp; "코멘트,리뷰 페이지" &amp; "(곽민수)" &amp; " " &amp; IF(M71="","",TEXT(M71,"M/D-")) &amp; IF(N71="","",TEXT(N71,"M/D")) &amp; " "</f>
        <v xml:space="preserve">  0.00% 코멘트,리뷰 페이지(곽민수) 4/23-4/26 </v>
      </c>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c r="FF71" s="4"/>
      <c r="FG71" s="4"/>
      <c r="FH71" s="4"/>
      <c r="FI71" s="4"/>
      <c r="FJ71" s="4"/>
      <c r="FK71" s="4"/>
      <c r="FL71" s="4"/>
      <c r="FM71" s="4"/>
      <c r="FN71" s="4"/>
      <c r="FO71" s="4"/>
      <c r="FP71" s="4"/>
      <c r="FQ71" s="4"/>
      <c r="FR71" s="4"/>
      <c r="FS71" s="4"/>
      <c r="FT71" s="4"/>
      <c r="FU71" s="4"/>
      <c r="FV71" s="4"/>
      <c r="FW71" s="4"/>
      <c r="FX71" s="4"/>
      <c r="FY71" s="4"/>
      <c r="FZ71" s="4"/>
      <c r="GA71" s="4"/>
      <c r="GB71" s="4"/>
      <c r="GC71" s="4"/>
      <c r="GD71" s="4"/>
      <c r="GE71" s="4"/>
      <c r="GF71" s="4"/>
      <c r="GG71" s="4"/>
    </row>
    <row r="72" spans="1:189" ht="13.2" outlineLevel="2">
      <c r="A72" s="116"/>
      <c r="B72" s="116" t="s">
        <v>996</v>
      </c>
      <c r="C72" s="116">
        <v>3</v>
      </c>
      <c r="D72" s="3" t="s">
        <v>436</v>
      </c>
      <c r="E72" s="184"/>
      <c r="F72" s="184"/>
      <c r="G72" s="216" t="s">
        <v>1125</v>
      </c>
      <c r="H72" s="184"/>
      <c r="I72" s="184"/>
      <c r="J72" s="184"/>
      <c r="K72" s="184"/>
      <c r="L72" s="184"/>
      <c r="M72" s="185">
        <v>43563</v>
      </c>
      <c r="N72" s="185">
        <v>43577</v>
      </c>
      <c r="O72" s="186"/>
      <c r="P72" s="187">
        <v>11</v>
      </c>
      <c r="Q72" s="187">
        <v>0</v>
      </c>
      <c r="R72" s="188">
        <v>11</v>
      </c>
      <c r="S72" s="188">
        <v>0</v>
      </c>
      <c r="T72" s="185"/>
      <c r="U72" s="185"/>
      <c r="V72" s="189">
        <v>0</v>
      </c>
      <c r="W72" s="190">
        <v>0</v>
      </c>
      <c r="X72" s="191"/>
      <c r="Y72" s="186"/>
      <c r="Z72" s="192"/>
      <c r="AA72" s="97">
        <v>0</v>
      </c>
      <c r="AB72" s="193">
        <v>0</v>
      </c>
      <c r="AC72" s="123"/>
      <c r="AD72" s="4"/>
      <c r="AE72" s="4"/>
      <c r="AF72" s="4"/>
      <c r="AG72" s="4"/>
      <c r="AH72" s="4"/>
      <c r="AI72" s="4"/>
      <c r="AJ72" s="4"/>
      <c r="AK72" s="4"/>
      <c r="AL72" s="4"/>
      <c r="AM72" s="4"/>
      <c r="AN72" s="4"/>
      <c r="AO72" s="4" t="str">
        <f>" " &amp; TEXT(AB72,"#0.00%") &amp; " " &amp; "뷰어 상세" &amp; " " &amp; IF(M72="","",TEXT(M72,"M/D-")) &amp; IF(N72="","",TEXT(N72,"M/D")) &amp; " "</f>
        <v xml:space="preserve"> 0.00% 뷰어 상세 4/8-4/22 </v>
      </c>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c r="FF72" s="4"/>
      <c r="FG72" s="4"/>
      <c r="FH72" s="4"/>
      <c r="FI72" s="4"/>
      <c r="FJ72" s="4"/>
      <c r="FK72" s="4"/>
      <c r="FL72" s="4"/>
      <c r="FM72" s="4"/>
      <c r="FN72" s="4"/>
      <c r="FO72" s="4"/>
      <c r="FP72" s="4"/>
      <c r="FQ72" s="4"/>
      <c r="FR72" s="4"/>
      <c r="FS72" s="4"/>
      <c r="FT72" s="4"/>
      <c r="FU72" s="4"/>
      <c r="FV72" s="4"/>
      <c r="FW72" s="4"/>
      <c r="FX72" s="4"/>
      <c r="FY72" s="4"/>
      <c r="FZ72" s="4"/>
      <c r="GA72" s="4"/>
      <c r="GB72" s="4"/>
      <c r="GC72" s="4"/>
      <c r="GD72" s="4"/>
      <c r="GE72" s="4"/>
      <c r="GF72" s="4"/>
      <c r="GG72" s="4"/>
    </row>
    <row r="73" spans="1:189" ht="13.2" outlineLevel="3">
      <c r="A73" s="116"/>
      <c r="B73" s="116"/>
      <c r="C73" s="116">
        <v>4</v>
      </c>
      <c r="D73" s="3" t="s">
        <v>1135</v>
      </c>
      <c r="E73" s="184"/>
      <c r="F73" s="184"/>
      <c r="G73" s="216"/>
      <c r="H73" s="216" t="s">
        <v>1124</v>
      </c>
      <c r="I73" s="184"/>
      <c r="J73" s="184"/>
      <c r="K73" s="184"/>
      <c r="L73" s="184"/>
      <c r="M73" s="226">
        <v>43563</v>
      </c>
      <c r="N73" s="226">
        <v>43577</v>
      </c>
      <c r="O73" s="227"/>
      <c r="P73" s="187">
        <v>11</v>
      </c>
      <c r="Q73" s="187">
        <v>0</v>
      </c>
      <c r="R73" s="188">
        <v>11</v>
      </c>
      <c r="S73" s="188">
        <v>0</v>
      </c>
      <c r="T73" s="185"/>
      <c r="U73" s="185"/>
      <c r="V73" s="189"/>
      <c r="W73" s="190">
        <v>0</v>
      </c>
      <c r="X73" s="191">
        <v>1</v>
      </c>
      <c r="Y73" s="229" t="s">
        <v>1231</v>
      </c>
      <c r="Z73" s="192"/>
      <c r="AA73" s="97">
        <v>0</v>
      </c>
      <c r="AB73" s="193">
        <v>0</v>
      </c>
      <c r="AC73" s="123"/>
      <c r="AD73" s="4"/>
      <c r="AE73" s="4"/>
      <c r="AF73" s="4"/>
      <c r="AG73" s="4"/>
      <c r="AH73" s="4"/>
      <c r="AI73" s="4"/>
      <c r="AJ73" s="4"/>
      <c r="AK73" s="4"/>
      <c r="AL73" s="4"/>
      <c r="AM73" s="4"/>
      <c r="AN73" s="4"/>
      <c r="AO73" s="4" t="str">
        <f>" " &amp; TEXT(AB73,"#0.00%") &amp; " " &amp; "사용자별 책갈피" &amp; "(김은광)" &amp; " " &amp; IF(M73="","",TEXT(M73,"M/D-")) &amp; IF(N73="","",TEXT(N73,"M/D")) &amp; " "</f>
        <v xml:space="preserve"> 0.00% 사용자별 책갈피(김은광) 4/8-4/22 </v>
      </c>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c r="FF73" s="4"/>
      <c r="FG73" s="4"/>
      <c r="FH73" s="4"/>
      <c r="FI73" s="4"/>
      <c r="FJ73" s="4"/>
      <c r="FK73" s="4"/>
      <c r="FL73" s="4"/>
      <c r="FM73" s="4"/>
      <c r="FN73" s="4"/>
      <c r="FO73" s="4"/>
      <c r="FP73" s="4"/>
      <c r="FQ73" s="4"/>
      <c r="FR73" s="4"/>
      <c r="FS73" s="4"/>
      <c r="FT73" s="4"/>
      <c r="FU73" s="4"/>
      <c r="FV73" s="4"/>
      <c r="FW73" s="4"/>
      <c r="FX73" s="4"/>
      <c r="FY73" s="4"/>
      <c r="FZ73" s="4"/>
      <c r="GA73" s="4"/>
      <c r="GB73" s="4"/>
      <c r="GC73" s="4"/>
      <c r="GD73" s="4"/>
      <c r="GE73" s="4"/>
      <c r="GF73" s="4"/>
      <c r="GG73" s="4"/>
    </row>
    <row r="74" spans="1:189" ht="13.2" outlineLevel="2">
      <c r="A74" s="116"/>
      <c r="B74" s="116" t="s">
        <v>996</v>
      </c>
      <c r="C74" s="116">
        <v>3</v>
      </c>
      <c r="D74" s="3" t="s">
        <v>1104</v>
      </c>
      <c r="E74" s="184"/>
      <c r="F74" s="184"/>
      <c r="G74" s="216" t="s">
        <v>1126</v>
      </c>
      <c r="H74" s="184"/>
      <c r="I74" s="184"/>
      <c r="J74" s="184"/>
      <c r="K74" s="184"/>
      <c r="L74" s="184"/>
      <c r="M74" s="226">
        <v>43570</v>
      </c>
      <c r="N74" s="226">
        <v>43583</v>
      </c>
      <c r="O74" s="227"/>
      <c r="P74" s="187">
        <v>10</v>
      </c>
      <c r="Q74" s="187">
        <v>0</v>
      </c>
      <c r="R74" s="188">
        <v>10</v>
      </c>
      <c r="S74" s="188">
        <v>0</v>
      </c>
      <c r="T74" s="185"/>
      <c r="U74" s="185"/>
      <c r="V74" s="189">
        <v>0</v>
      </c>
      <c r="W74" s="190">
        <v>0</v>
      </c>
      <c r="X74" s="191"/>
      <c r="Y74" s="186"/>
      <c r="Z74" s="192"/>
      <c r="AA74" s="97">
        <v>0</v>
      </c>
      <c r="AB74" s="193">
        <v>0</v>
      </c>
      <c r="AC74" s="123"/>
      <c r="AD74" s="4"/>
      <c r="AE74" s="4"/>
      <c r="AF74" s="4"/>
      <c r="AG74" s="4"/>
      <c r="AH74" s="4"/>
      <c r="AI74" s="4"/>
      <c r="AJ74" s="4"/>
      <c r="AK74" s="4"/>
      <c r="AL74" s="4"/>
      <c r="AM74" s="4"/>
      <c r="AN74" s="4"/>
      <c r="AO74" s="4"/>
      <c r="AP74" s="4" t="str">
        <f>" " &amp; TEXT(AB74,"#0.00%") &amp; " " &amp; "앱 페이지 관련" &amp; " " &amp; IF(M74="","",TEXT(M74,"M/D-")) &amp; IF(N74="","",TEXT(N74,"M/D")) &amp; " "</f>
        <v xml:space="preserve"> 0.00% 앱 페이지 관련 4/15-4/28 </v>
      </c>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c r="FF74" s="4"/>
      <c r="FG74" s="4"/>
      <c r="FH74" s="4"/>
      <c r="FI74" s="4"/>
      <c r="FJ74" s="4"/>
      <c r="FK74" s="4"/>
      <c r="FL74" s="4"/>
      <c r="FM74" s="4"/>
      <c r="FN74" s="4"/>
      <c r="FO74" s="4"/>
      <c r="FP74" s="4"/>
      <c r="FQ74" s="4"/>
      <c r="FR74" s="4"/>
      <c r="FS74" s="4"/>
      <c r="FT74" s="4"/>
      <c r="FU74" s="4"/>
      <c r="FV74" s="4"/>
      <c r="FW74" s="4"/>
      <c r="FX74" s="4"/>
      <c r="FY74" s="4"/>
      <c r="FZ74" s="4"/>
      <c r="GA74" s="4"/>
      <c r="GB74" s="4"/>
      <c r="GC74" s="4"/>
      <c r="GD74" s="4"/>
      <c r="GE74" s="4"/>
      <c r="GF74" s="4"/>
      <c r="GG74" s="4"/>
    </row>
    <row r="75" spans="1:189" ht="13.2" outlineLevel="3">
      <c r="A75" s="116"/>
      <c r="B75" s="116"/>
      <c r="C75" s="116">
        <v>4</v>
      </c>
      <c r="D75" s="3" t="s">
        <v>1222</v>
      </c>
      <c r="E75" s="184"/>
      <c r="F75" s="184"/>
      <c r="G75" s="216"/>
      <c r="H75" s="225" t="s">
        <v>1140</v>
      </c>
      <c r="I75" s="218"/>
      <c r="J75" s="184"/>
      <c r="K75" s="184"/>
      <c r="L75" s="184"/>
      <c r="M75" s="226">
        <v>43570</v>
      </c>
      <c r="N75" s="228">
        <v>43571</v>
      </c>
      <c r="O75" s="227"/>
      <c r="P75" s="187">
        <v>2</v>
      </c>
      <c r="Q75" s="187">
        <v>0</v>
      </c>
      <c r="R75" s="188">
        <v>2</v>
      </c>
      <c r="S75" s="188">
        <v>0</v>
      </c>
      <c r="T75" s="185"/>
      <c r="U75" s="185"/>
      <c r="V75" s="189"/>
      <c r="W75" s="190">
        <v>0</v>
      </c>
      <c r="X75" s="191">
        <v>1</v>
      </c>
      <c r="Y75" s="229" t="s">
        <v>1231</v>
      </c>
      <c r="Z75" s="192"/>
      <c r="AA75" s="97">
        <v>0</v>
      </c>
      <c r="AB75" s="193">
        <v>0</v>
      </c>
      <c r="AC75" s="123"/>
      <c r="AD75" s="4"/>
      <c r="AE75" s="4"/>
      <c r="AF75" s="4"/>
      <c r="AG75" s="4"/>
      <c r="AH75" s="4"/>
      <c r="AI75" s="4"/>
      <c r="AJ75" s="4"/>
      <c r="AK75" s="4"/>
      <c r="AL75" s="4"/>
      <c r="AM75" s="4"/>
      <c r="AN75" s="4"/>
      <c r="AO75" s="4"/>
      <c r="AP75" s="4" t="str">
        <f>" " &amp; TEXT(AB75,"#0.00%") &amp; " " &amp; "메인 페이지 및 사이드 바 구현" &amp; "(김은광)" &amp; " " &amp; IF(M75="","",TEXT(M75,"M/D-")) &amp; IF(N75="","",TEXT(N75,"M/D")) &amp; " "</f>
        <v xml:space="preserve"> 0.00% 메인 페이지 및 사이드 바 구현(김은광) 4/15-4/16 </v>
      </c>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c r="FF75" s="4"/>
      <c r="FG75" s="4"/>
      <c r="FH75" s="4"/>
      <c r="FI75" s="4"/>
      <c r="FJ75" s="4"/>
      <c r="FK75" s="4"/>
      <c r="FL75" s="4"/>
      <c r="FM75" s="4"/>
      <c r="FN75" s="4"/>
      <c r="FO75" s="4"/>
      <c r="FP75" s="4"/>
      <c r="FQ75" s="4"/>
      <c r="FR75" s="4"/>
      <c r="FS75" s="4"/>
      <c r="FT75" s="4"/>
      <c r="FU75" s="4"/>
      <c r="FV75" s="4"/>
      <c r="FW75" s="4"/>
      <c r="FX75" s="4"/>
      <c r="FY75" s="4"/>
      <c r="FZ75" s="4"/>
      <c r="GA75" s="4"/>
      <c r="GB75" s="4"/>
      <c r="GC75" s="4"/>
      <c r="GD75" s="4"/>
      <c r="GE75" s="4"/>
      <c r="GF75" s="4"/>
      <c r="GG75" s="4"/>
    </row>
    <row r="76" spans="1:189" ht="13.2" outlineLevel="3">
      <c r="A76" s="116"/>
      <c r="B76" s="116"/>
      <c r="C76" s="116">
        <v>4</v>
      </c>
      <c r="D76" s="3" t="s">
        <v>1223</v>
      </c>
      <c r="E76" s="184"/>
      <c r="F76" s="184"/>
      <c r="G76" s="216"/>
      <c r="H76" s="225" t="s">
        <v>1141</v>
      </c>
      <c r="I76" s="218"/>
      <c r="J76" s="184"/>
      <c r="K76" s="184"/>
      <c r="L76" s="184"/>
      <c r="M76" s="226">
        <v>43572</v>
      </c>
      <c r="N76" s="228">
        <v>43573</v>
      </c>
      <c r="O76" s="227"/>
      <c r="P76" s="187">
        <v>2</v>
      </c>
      <c r="Q76" s="187">
        <v>0</v>
      </c>
      <c r="R76" s="188">
        <v>2</v>
      </c>
      <c r="S76" s="188">
        <v>0</v>
      </c>
      <c r="T76" s="185"/>
      <c r="U76" s="185"/>
      <c r="V76" s="189"/>
      <c r="W76" s="190">
        <v>0</v>
      </c>
      <c r="X76" s="191">
        <v>1</v>
      </c>
      <c r="Y76" s="229" t="s">
        <v>1231</v>
      </c>
      <c r="Z76" s="192"/>
      <c r="AA76" s="97">
        <v>0</v>
      </c>
      <c r="AB76" s="193">
        <v>0</v>
      </c>
      <c r="AC76" s="123"/>
      <c r="AD76" s="4"/>
      <c r="AE76" s="4"/>
      <c r="AF76" s="4"/>
      <c r="AG76" s="4"/>
      <c r="AH76" s="4"/>
      <c r="AI76" s="4"/>
      <c r="AJ76" s="4"/>
      <c r="AK76" s="4"/>
      <c r="AL76" s="4"/>
      <c r="AM76" s="4"/>
      <c r="AN76" s="4"/>
      <c r="AO76" s="4"/>
      <c r="AP76" s="4" t="str">
        <f>"   " &amp; TEXT(AB76,"#0.00%") &amp; " " &amp; "검색 바 및 검색페이지 구현" &amp; "(김은광)" &amp; " " &amp; IF(M76="","",TEXT(M76,"M/D-")) &amp; IF(N76="","",TEXT(N76,"M/D")) &amp; " "</f>
        <v xml:space="preserve">   0.00% 검색 바 및 검색페이지 구현(김은광) 4/17-4/18 </v>
      </c>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row>
    <row r="77" spans="1:189" ht="13.2" outlineLevel="3">
      <c r="A77" s="116"/>
      <c r="B77" s="116"/>
      <c r="C77" s="116">
        <v>4</v>
      </c>
      <c r="D77" s="3" t="s">
        <v>1224</v>
      </c>
      <c r="E77" s="184"/>
      <c r="F77" s="184"/>
      <c r="G77" s="216"/>
      <c r="H77" s="217" t="s">
        <v>1142</v>
      </c>
      <c r="I77" s="184"/>
      <c r="J77" s="184"/>
      <c r="K77" s="184"/>
      <c r="L77" s="184"/>
      <c r="M77" s="226">
        <v>43574</v>
      </c>
      <c r="N77" s="226">
        <v>43576</v>
      </c>
      <c r="O77" s="227"/>
      <c r="P77" s="187">
        <v>1</v>
      </c>
      <c r="Q77" s="187">
        <v>0</v>
      </c>
      <c r="R77" s="188">
        <v>1</v>
      </c>
      <c r="S77" s="188">
        <v>0</v>
      </c>
      <c r="T77" s="185"/>
      <c r="U77" s="185"/>
      <c r="V77" s="189"/>
      <c r="W77" s="190">
        <v>0</v>
      </c>
      <c r="X77" s="191">
        <v>1</v>
      </c>
      <c r="Y77" s="229" t="s">
        <v>1231</v>
      </c>
      <c r="Z77" s="192"/>
      <c r="AA77" s="97">
        <v>0</v>
      </c>
      <c r="AB77" s="193">
        <v>0</v>
      </c>
      <c r="AC77" s="123"/>
      <c r="AD77" s="4"/>
      <c r="AE77" s="4"/>
      <c r="AF77" s="4"/>
      <c r="AG77" s="4"/>
      <c r="AH77" s="4"/>
      <c r="AI77" s="4"/>
      <c r="AJ77" s="4"/>
      <c r="AK77" s="4"/>
      <c r="AL77" s="4"/>
      <c r="AM77" s="4"/>
      <c r="AN77" s="4"/>
      <c r="AO77" s="4"/>
      <c r="AP77" s="4" t="str">
        <f>"     " &amp; TEXT(AB77,"#0.00%") &amp; " " &amp; "로그인&amp;계정관리 구현" &amp; "(김은광)" &amp; " " &amp; IF(M77="","",TEXT(M77,"M/D-")) &amp; IF(N77="","",TEXT(N77,"M/D")) &amp; " "</f>
        <v xml:space="preserve">     0.00% 로그인&amp;계정관리 구현(김은광) 4/19-4/21 </v>
      </c>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c r="FF77" s="4"/>
      <c r="FG77" s="4"/>
      <c r="FH77" s="4"/>
      <c r="FI77" s="4"/>
      <c r="FJ77" s="4"/>
      <c r="FK77" s="4"/>
      <c r="FL77" s="4"/>
      <c r="FM77" s="4"/>
      <c r="FN77" s="4"/>
      <c r="FO77" s="4"/>
      <c r="FP77" s="4"/>
      <c r="FQ77" s="4"/>
      <c r="FR77" s="4"/>
      <c r="FS77" s="4"/>
      <c r="FT77" s="4"/>
      <c r="FU77" s="4"/>
      <c r="FV77" s="4"/>
      <c r="FW77" s="4"/>
      <c r="FX77" s="4"/>
      <c r="FY77" s="4"/>
      <c r="FZ77" s="4"/>
      <c r="GA77" s="4"/>
      <c r="GB77" s="4"/>
      <c r="GC77" s="4"/>
      <c r="GD77" s="4"/>
      <c r="GE77" s="4"/>
      <c r="GF77" s="4"/>
      <c r="GG77" s="4"/>
    </row>
    <row r="78" spans="1:189" ht="13.2" outlineLevel="3">
      <c r="A78" s="116"/>
      <c r="B78" s="116"/>
      <c r="C78" s="116">
        <v>4</v>
      </c>
      <c r="D78" s="3" t="s">
        <v>1225</v>
      </c>
      <c r="E78" s="184"/>
      <c r="F78" s="184"/>
      <c r="G78" s="216"/>
      <c r="H78" s="216" t="s">
        <v>1143</v>
      </c>
      <c r="I78" s="184"/>
      <c r="J78" s="184"/>
      <c r="K78" s="184"/>
      <c r="L78" s="184"/>
      <c r="M78" s="226">
        <v>43577</v>
      </c>
      <c r="N78" s="226">
        <v>43578</v>
      </c>
      <c r="O78" s="227"/>
      <c r="P78" s="187">
        <v>2</v>
      </c>
      <c r="Q78" s="187">
        <v>0</v>
      </c>
      <c r="R78" s="188">
        <v>2</v>
      </c>
      <c r="S78" s="188">
        <v>0</v>
      </c>
      <c r="T78" s="185"/>
      <c r="U78" s="185"/>
      <c r="V78" s="189"/>
      <c r="W78" s="190">
        <v>0</v>
      </c>
      <c r="X78" s="191">
        <v>1</v>
      </c>
      <c r="Y78" s="229" t="s">
        <v>1231</v>
      </c>
      <c r="Z78" s="192"/>
      <c r="AA78" s="97">
        <v>0</v>
      </c>
      <c r="AB78" s="193">
        <v>0</v>
      </c>
      <c r="AC78" s="123"/>
      <c r="AD78" s="4"/>
      <c r="AE78" s="4"/>
      <c r="AF78" s="4"/>
      <c r="AG78" s="4"/>
      <c r="AH78" s="4"/>
      <c r="AI78" s="4"/>
      <c r="AJ78" s="4"/>
      <c r="AK78" s="4"/>
      <c r="AL78" s="4"/>
      <c r="AM78" s="4"/>
      <c r="AN78" s="4"/>
      <c r="AO78" s="4"/>
      <c r="AP78" s="4"/>
      <c r="AQ78" s="4" t="str">
        <f>" " &amp; TEXT(AB78,"#0.00%") &amp; " " &amp; "포인트 관리 페이지 구현" &amp; "(김은광)" &amp; " " &amp; IF(M78="","",TEXT(M78,"M/D-")) &amp; IF(N78="","",TEXT(N78,"M/D")) &amp; " "</f>
        <v xml:space="preserve"> 0.00% 포인트 관리 페이지 구현(김은광) 4/22-4/23 </v>
      </c>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c r="FF78" s="4"/>
      <c r="FG78" s="4"/>
      <c r="FH78" s="4"/>
      <c r="FI78" s="4"/>
      <c r="FJ78" s="4"/>
      <c r="FK78" s="4"/>
      <c r="FL78" s="4"/>
      <c r="FM78" s="4"/>
      <c r="FN78" s="4"/>
      <c r="FO78" s="4"/>
      <c r="FP78" s="4"/>
      <c r="FQ78" s="4"/>
      <c r="FR78" s="4"/>
      <c r="FS78" s="4"/>
      <c r="FT78" s="4"/>
      <c r="FU78" s="4"/>
      <c r="FV78" s="4"/>
      <c r="FW78" s="4"/>
      <c r="FX78" s="4"/>
      <c r="FY78" s="4"/>
      <c r="FZ78" s="4"/>
      <c r="GA78" s="4"/>
      <c r="GB78" s="4"/>
      <c r="GC78" s="4"/>
      <c r="GD78" s="4"/>
      <c r="GE78" s="4"/>
      <c r="GF78" s="4"/>
      <c r="GG78" s="4"/>
    </row>
    <row r="79" spans="1:189" ht="13.2" outlineLevel="3">
      <c r="A79" s="116"/>
      <c r="B79" s="116"/>
      <c r="C79" s="116">
        <v>4</v>
      </c>
      <c r="D79" s="3" t="s">
        <v>1226</v>
      </c>
      <c r="E79" s="184"/>
      <c r="F79" s="184"/>
      <c r="G79" s="216"/>
      <c r="H79" s="216" t="s">
        <v>1144</v>
      </c>
      <c r="I79" s="184"/>
      <c r="J79" s="184"/>
      <c r="K79" s="184"/>
      <c r="L79" s="184"/>
      <c r="M79" s="226">
        <v>43579</v>
      </c>
      <c r="N79" s="226">
        <v>43581</v>
      </c>
      <c r="O79" s="227"/>
      <c r="P79" s="187">
        <v>3</v>
      </c>
      <c r="Q79" s="187">
        <v>0</v>
      </c>
      <c r="R79" s="188">
        <v>3</v>
      </c>
      <c r="S79" s="188">
        <v>0</v>
      </c>
      <c r="T79" s="185"/>
      <c r="U79" s="185"/>
      <c r="V79" s="189"/>
      <c r="W79" s="190">
        <v>0</v>
      </c>
      <c r="X79" s="191">
        <v>1</v>
      </c>
      <c r="Y79" s="229" t="s">
        <v>1231</v>
      </c>
      <c r="Z79" s="192"/>
      <c r="AA79" s="97">
        <v>0</v>
      </c>
      <c r="AB79" s="193">
        <v>0</v>
      </c>
      <c r="AC79" s="123"/>
      <c r="AD79" s="4"/>
      <c r="AE79" s="4"/>
      <c r="AF79" s="4"/>
      <c r="AG79" s="4"/>
      <c r="AH79" s="4"/>
      <c r="AI79" s="4"/>
      <c r="AJ79" s="4"/>
      <c r="AK79" s="4"/>
      <c r="AL79" s="4"/>
      <c r="AM79" s="4"/>
      <c r="AN79" s="4"/>
      <c r="AO79" s="4"/>
      <c r="AP79" s="4"/>
      <c r="AQ79" s="4" t="str">
        <f>"   " &amp; TEXT(AB79,"#0.00%") &amp; " " &amp; "내 서재 및 관심작품 구현" &amp; "(김은광)" &amp; " " &amp; IF(M79="","",TEXT(M79,"M/D-")) &amp; IF(N79="","",TEXT(N79,"M/D")) &amp; " "</f>
        <v xml:space="preserve">   0.00% 내 서재 및 관심작품 구현(김은광) 4/24-4/26 </v>
      </c>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c r="FF79" s="4"/>
      <c r="FG79" s="4"/>
      <c r="FH79" s="4"/>
      <c r="FI79" s="4"/>
      <c r="FJ79" s="4"/>
      <c r="FK79" s="4"/>
      <c r="FL79" s="4"/>
      <c r="FM79" s="4"/>
      <c r="FN79" s="4"/>
      <c r="FO79" s="4"/>
      <c r="FP79" s="4"/>
      <c r="FQ79" s="4"/>
      <c r="FR79" s="4"/>
      <c r="FS79" s="4"/>
      <c r="FT79" s="4"/>
      <c r="FU79" s="4"/>
      <c r="FV79" s="4"/>
      <c r="FW79" s="4"/>
      <c r="FX79" s="4"/>
      <c r="FY79" s="4"/>
      <c r="FZ79" s="4"/>
      <c r="GA79" s="4"/>
      <c r="GB79" s="4"/>
      <c r="GC79" s="4"/>
      <c r="GD79" s="4"/>
      <c r="GE79" s="4"/>
      <c r="GF79" s="4"/>
      <c r="GG79" s="4"/>
    </row>
    <row r="80" spans="1:189" ht="13.2" outlineLevel="3">
      <c r="A80" s="116"/>
      <c r="B80" s="116"/>
      <c r="C80" s="116">
        <v>4</v>
      </c>
      <c r="D80" s="3" t="s">
        <v>1227</v>
      </c>
      <c r="E80" s="184"/>
      <c r="F80" s="184"/>
      <c r="G80" s="230"/>
      <c r="H80" s="216" t="s">
        <v>1145</v>
      </c>
      <c r="I80" s="184"/>
      <c r="J80" s="184"/>
      <c r="K80" s="184"/>
      <c r="L80" s="184"/>
      <c r="M80" s="226">
        <v>43582</v>
      </c>
      <c r="N80" s="226">
        <v>43583</v>
      </c>
      <c r="O80" s="227"/>
      <c r="P80" s="187">
        <v>0</v>
      </c>
      <c r="Q80" s="187">
        <v>0</v>
      </c>
      <c r="R80" s="188">
        <v>0</v>
      </c>
      <c r="S80" s="188">
        <v>0</v>
      </c>
      <c r="T80" s="185"/>
      <c r="U80" s="185"/>
      <c r="V80" s="189"/>
      <c r="W80" s="190">
        <v>0</v>
      </c>
      <c r="X80" s="191">
        <v>1</v>
      </c>
      <c r="Y80" s="229" t="s">
        <v>1231</v>
      </c>
      <c r="Z80" s="192"/>
      <c r="AA80" s="97">
        <v>0</v>
      </c>
      <c r="AB80" s="193">
        <v>0</v>
      </c>
      <c r="AC80" s="123"/>
      <c r="AD80" s="4"/>
      <c r="AE80" s="4"/>
      <c r="AF80" s="4"/>
      <c r="AG80" s="4"/>
      <c r="AH80" s="4"/>
      <c r="AI80" s="4"/>
      <c r="AJ80" s="4"/>
      <c r="AK80" s="4"/>
      <c r="AL80" s="4"/>
      <c r="AM80" s="4"/>
      <c r="AN80" s="4"/>
      <c r="AO80" s="4"/>
      <c r="AP80" s="4"/>
      <c r="AQ80" s="4" t="str">
        <f>"      " &amp; TEXT(AB80,"#0.00%") &amp; " " &amp; "피드 구현" &amp; "(김은광)" &amp; " " &amp; IF(M80="","",TEXT(M80,"M/D-")) &amp; IF(N80="","",TEXT(N80,"M/D")) &amp; " "</f>
        <v xml:space="preserve">      0.00% 피드 구현(김은광) 4/27-4/28 </v>
      </c>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c r="FF80" s="4"/>
      <c r="FG80" s="4"/>
      <c r="FH80" s="4"/>
      <c r="FI80" s="4"/>
      <c r="FJ80" s="4"/>
      <c r="FK80" s="4"/>
      <c r="FL80" s="4"/>
      <c r="FM80" s="4"/>
      <c r="FN80" s="4"/>
      <c r="FO80" s="4"/>
      <c r="FP80" s="4"/>
      <c r="FQ80" s="4"/>
      <c r="FR80" s="4"/>
      <c r="FS80" s="4"/>
      <c r="FT80" s="4"/>
      <c r="FU80" s="4"/>
      <c r="FV80" s="4"/>
      <c r="FW80" s="4"/>
      <c r="FX80" s="4"/>
      <c r="FY80" s="4"/>
      <c r="FZ80" s="4"/>
      <c r="GA80" s="4"/>
      <c r="GB80" s="4"/>
      <c r="GC80" s="4"/>
      <c r="GD80" s="4"/>
      <c r="GE80" s="4"/>
      <c r="GF80" s="4"/>
      <c r="GG80" s="4"/>
    </row>
    <row r="81" spans="1:189" ht="13.2" outlineLevel="2">
      <c r="A81" s="116"/>
      <c r="B81" s="116"/>
      <c r="C81" s="116">
        <v>3</v>
      </c>
      <c r="D81" s="3" t="s">
        <v>1117</v>
      </c>
      <c r="E81" s="184"/>
      <c r="F81" s="184"/>
      <c r="G81" s="216" t="s">
        <v>1116</v>
      </c>
      <c r="H81" s="184"/>
      <c r="I81" s="184"/>
      <c r="J81" s="184"/>
      <c r="K81" s="184"/>
      <c r="L81" s="184"/>
      <c r="M81" s="226">
        <v>43604</v>
      </c>
      <c r="N81" s="226">
        <v>43634</v>
      </c>
      <c r="O81" s="227"/>
      <c r="P81" s="187">
        <v>126</v>
      </c>
      <c r="Q81" s="187">
        <v>0</v>
      </c>
      <c r="R81" s="188">
        <v>21</v>
      </c>
      <c r="S81" s="188">
        <v>0</v>
      </c>
      <c r="T81" s="185"/>
      <c r="U81" s="185"/>
      <c r="V81" s="189"/>
      <c r="W81" s="190">
        <v>0</v>
      </c>
      <c r="X81" s="191">
        <v>6</v>
      </c>
      <c r="Y81" s="229" t="s">
        <v>1239</v>
      </c>
      <c r="Z81" s="192"/>
      <c r="AA81" s="97">
        <v>0</v>
      </c>
      <c r="AB81" s="193">
        <v>0</v>
      </c>
      <c r="AC81" s="123"/>
      <c r="AD81" s="4"/>
      <c r="AE81" s="4"/>
      <c r="AF81" s="4"/>
      <c r="AG81" s="4"/>
      <c r="AH81" s="4"/>
      <c r="AI81" s="4"/>
      <c r="AJ81" s="4"/>
      <c r="AK81" s="4"/>
      <c r="AL81" s="4"/>
      <c r="AM81" s="4"/>
      <c r="AN81" s="4"/>
      <c r="AO81" s="4"/>
      <c r="AP81" s="4"/>
      <c r="AQ81" s="4"/>
      <c r="AR81" s="4"/>
      <c r="AS81" s="4"/>
      <c r="AT81" s="4"/>
      <c r="AU81" s="4" t="str">
        <f>"" &amp; TEXT(AB81,"#0.00%") &amp; " "</f>
        <v xml:space="preserve">0.00% </v>
      </c>
      <c r="AV81" s="4"/>
      <c r="AW81" s="4"/>
      <c r="AX81" s="4"/>
      <c r="AY81" s="4" t="str">
        <f>"   " &amp; "디버깅 및 오류 픽스" &amp; "(전원)" &amp; " " &amp; IF(M81="","",TEXT(M81,"M/D-")) &amp; IF(N81="","",TEXT(N81,"M/D")) &amp; " "</f>
        <v xml:space="preserve">   디버깅 및 오류 픽스(전원) 5/19-6/18 </v>
      </c>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c r="FF81" s="4"/>
      <c r="FG81" s="4"/>
      <c r="FH81" s="4"/>
      <c r="FI81" s="4"/>
      <c r="FJ81" s="4"/>
      <c r="FK81" s="4"/>
      <c r="FL81" s="4"/>
      <c r="FM81" s="4"/>
      <c r="FN81" s="4"/>
      <c r="FO81" s="4"/>
      <c r="FP81" s="4"/>
      <c r="FQ81" s="4"/>
      <c r="FR81" s="4"/>
      <c r="FS81" s="4"/>
      <c r="FT81" s="4"/>
      <c r="FU81" s="4"/>
      <c r="FV81" s="4"/>
      <c r="FW81" s="4"/>
      <c r="FX81" s="4"/>
      <c r="FY81" s="4"/>
      <c r="FZ81" s="4"/>
      <c r="GA81" s="4"/>
      <c r="GB81" s="4"/>
      <c r="GC81" s="4"/>
      <c r="GD81" s="4"/>
      <c r="GE81" s="4"/>
      <c r="GF81" s="4"/>
      <c r="GG81" s="4"/>
    </row>
    <row r="82" spans="1:189" ht="13.2" outlineLevel="2">
      <c r="A82" s="116"/>
      <c r="B82" s="116"/>
      <c r="C82" s="116">
        <v>0</v>
      </c>
      <c r="D82" s="3"/>
      <c r="E82" s="184"/>
      <c r="F82" s="184"/>
      <c r="G82" s="216"/>
      <c r="H82" s="184"/>
      <c r="I82" s="184"/>
      <c r="J82" s="184"/>
      <c r="K82" s="184"/>
      <c r="L82" s="184"/>
      <c r="M82" s="226"/>
      <c r="N82" s="226"/>
      <c r="O82" s="227"/>
      <c r="P82" s="187"/>
      <c r="Q82" s="187"/>
      <c r="R82" s="188">
        <v>0</v>
      </c>
      <c r="S82" s="188">
        <v>0</v>
      </c>
      <c r="T82" s="185"/>
      <c r="U82" s="185"/>
      <c r="V82" s="189"/>
      <c r="W82" s="190">
        <v>0</v>
      </c>
      <c r="X82" s="191"/>
      <c r="Y82" s="229"/>
      <c r="Z82" s="192"/>
      <c r="AA82" s="97"/>
      <c r="AB82" s="193"/>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row>
    <row r="83" spans="1:189" ht="13.2" outlineLevel="1">
      <c r="A83" s="116"/>
      <c r="B83" s="116" t="s">
        <v>996</v>
      </c>
      <c r="C83" s="116">
        <v>2</v>
      </c>
      <c r="D83" s="3" t="s">
        <v>1136</v>
      </c>
      <c r="E83" s="184"/>
      <c r="F83" s="184" t="s">
        <v>1086</v>
      </c>
      <c r="G83" s="216"/>
      <c r="H83" s="184"/>
      <c r="I83" s="184"/>
      <c r="J83" s="184"/>
      <c r="K83" s="184"/>
      <c r="L83" s="184"/>
      <c r="M83" s="185">
        <v>43481</v>
      </c>
      <c r="N83" s="185">
        <v>43635</v>
      </c>
      <c r="O83" s="186"/>
      <c r="P83" s="187">
        <v>153</v>
      </c>
      <c r="Q83" s="187">
        <v>51</v>
      </c>
      <c r="R83" s="188">
        <v>105</v>
      </c>
      <c r="S83" s="188">
        <v>39</v>
      </c>
      <c r="T83" s="185"/>
      <c r="U83" s="185"/>
      <c r="V83" s="189">
        <v>0</v>
      </c>
      <c r="W83" s="190">
        <v>0</v>
      </c>
      <c r="X83" s="191"/>
      <c r="Y83" s="186"/>
      <c r="Z83" s="192"/>
      <c r="AA83" s="97">
        <v>0.33333333333333331</v>
      </c>
      <c r="AB83" s="193">
        <v>0.33333333333333331</v>
      </c>
      <c r="AC83" s="123"/>
      <c r="AD83" s="4"/>
      <c r="AE83" s="4"/>
      <c r="AF83" s="4"/>
      <c r="AG83" s="4"/>
      <c r="AH83" s="4"/>
      <c r="AI83" s="4"/>
      <c r="AJ83" s="4" t="str">
        <f>"      " &amp; TEXT(AB83,"#0.00%") &amp; " "</f>
        <v xml:space="preserve">      33.33% </v>
      </c>
      <c r="AK83" s="4"/>
      <c r="AL83" s="4"/>
      <c r="AM83" s="4"/>
      <c r="AN83" s="4"/>
      <c r="AO83" s="4"/>
      <c r="AP83" s="4"/>
      <c r="AQ83" s="4"/>
      <c r="AR83" s="4"/>
      <c r="AS83" s="4"/>
      <c r="AT83" s="4"/>
      <c r="AU83" s="4"/>
      <c r="AV83" s="4"/>
      <c r="AW83" s="4"/>
      <c r="AX83" s="4"/>
      <c r="AY83" s="4" t="str">
        <f>"    " &amp; "발표" &amp; " " &amp; IF(M83="","",TEXT(M83,"M/D-")) &amp; IF(N83="","",TEXT(N83,"M/D")) &amp; " "</f>
        <v xml:space="preserve">    발표 1/16-6/19 </v>
      </c>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row>
    <row r="84" spans="1:189" ht="13.2" outlineLevel="2">
      <c r="A84" s="116"/>
      <c r="B84" s="116" t="s">
        <v>996</v>
      </c>
      <c r="C84" s="116">
        <v>3</v>
      </c>
      <c r="D84" s="3" t="s">
        <v>1137</v>
      </c>
      <c r="E84" s="184"/>
      <c r="F84" s="184"/>
      <c r="G84" s="216" t="s">
        <v>1087</v>
      </c>
      <c r="H84" s="184"/>
      <c r="I84" s="184"/>
      <c r="J84" s="184"/>
      <c r="K84" s="184"/>
      <c r="L84" s="184"/>
      <c r="M84" s="185">
        <v>43481</v>
      </c>
      <c r="N84" s="185">
        <v>43495</v>
      </c>
      <c r="O84" s="186"/>
      <c r="P84" s="187">
        <v>51</v>
      </c>
      <c r="Q84" s="187">
        <v>51</v>
      </c>
      <c r="R84" s="188">
        <v>11</v>
      </c>
      <c r="S84" s="188">
        <v>11</v>
      </c>
      <c r="T84" s="185"/>
      <c r="U84" s="185"/>
      <c r="V84" s="189">
        <v>0</v>
      </c>
      <c r="W84" s="190">
        <v>0</v>
      </c>
      <c r="X84" s="191"/>
      <c r="Y84" s="186"/>
      <c r="Z84" s="192"/>
      <c r="AA84" s="97">
        <v>1</v>
      </c>
      <c r="AB84" s="193">
        <v>1</v>
      </c>
      <c r="AC84" s="123"/>
      <c r="AD84" s="4"/>
      <c r="AE84" s="4" t="str">
        <f>"    " &amp; TEXT(AB84,"#0.00%") &amp; " " &amp; "기획발표" &amp; " " &amp; IF(M84="","",TEXT(M84,"M/D-")) &amp; IF(N84="","",TEXT(N84,"M/D")) &amp; " "</f>
        <v xml:space="preserve">    100.00% 기획발표 1/16-1/30 </v>
      </c>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row>
    <row r="85" spans="1:189" ht="13.2" outlineLevel="3">
      <c r="A85" s="116"/>
      <c r="B85" s="116"/>
      <c r="C85" s="116">
        <v>4</v>
      </c>
      <c r="D85" s="3" t="s">
        <v>1105</v>
      </c>
      <c r="E85" s="184"/>
      <c r="F85" s="184"/>
      <c r="G85" s="216"/>
      <c r="H85" s="184" t="s">
        <v>1090</v>
      </c>
      <c r="I85" s="184"/>
      <c r="J85" s="184"/>
      <c r="K85" s="184"/>
      <c r="L85" s="184"/>
      <c r="M85" s="185">
        <v>43481</v>
      </c>
      <c r="N85" s="185">
        <v>43494</v>
      </c>
      <c r="O85" s="186"/>
      <c r="P85" s="187">
        <v>40</v>
      </c>
      <c r="Q85" s="187">
        <v>40</v>
      </c>
      <c r="R85" s="188">
        <v>10</v>
      </c>
      <c r="S85" s="188">
        <v>10</v>
      </c>
      <c r="T85" s="185"/>
      <c r="U85" s="185"/>
      <c r="V85" s="189"/>
      <c r="W85" s="190">
        <v>0</v>
      </c>
      <c r="X85" s="191">
        <v>4</v>
      </c>
      <c r="Y85" s="229" t="s">
        <v>1237</v>
      </c>
      <c r="Z85" s="192"/>
      <c r="AA85" s="97">
        <v>1</v>
      </c>
      <c r="AB85" s="193">
        <v>1</v>
      </c>
      <c r="AC85" s="123"/>
      <c r="AD85" s="4"/>
      <c r="AE85" s="4" t="str">
        <f>"   " &amp; TEXT(AB85,"#0.00%") &amp; " " &amp; "ppt 준비" &amp; "(임홍기, 김은채, 한혜은, 김은광)" &amp; " " &amp; IF(M85="","",TEXT(M85,"M/D-")) &amp; IF(N85="","",TEXT(N85,"M/D")) &amp; " "</f>
        <v xml:space="preserve">   100.00% ppt 준비(임홍기, 김은채, 한혜은, 김은광) 1/16-1/29 </v>
      </c>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row>
    <row r="86" spans="1:189" ht="13.2" outlineLevel="3">
      <c r="A86" s="116"/>
      <c r="B86" s="116"/>
      <c r="C86" s="116">
        <v>4</v>
      </c>
      <c r="D86" s="3" t="s">
        <v>1106</v>
      </c>
      <c r="E86" s="184"/>
      <c r="F86" s="184"/>
      <c r="G86" s="216"/>
      <c r="H86" s="184" t="s">
        <v>1100</v>
      </c>
      <c r="I86" s="184"/>
      <c r="J86" s="184"/>
      <c r="K86" s="184"/>
      <c r="L86" s="184"/>
      <c r="M86" s="185">
        <v>43488</v>
      </c>
      <c r="N86" s="219">
        <v>43494</v>
      </c>
      <c r="O86" s="186"/>
      <c r="P86" s="187">
        <v>10</v>
      </c>
      <c r="Q86" s="187">
        <v>10</v>
      </c>
      <c r="R86" s="188">
        <v>5</v>
      </c>
      <c r="S86" s="188">
        <v>5</v>
      </c>
      <c r="T86" s="185"/>
      <c r="U86" s="185"/>
      <c r="V86" s="189"/>
      <c r="W86" s="190">
        <v>0</v>
      </c>
      <c r="X86" s="191">
        <v>2</v>
      </c>
      <c r="Y86" s="229" t="s">
        <v>1238</v>
      </c>
      <c r="Z86" s="192"/>
      <c r="AA86" s="97">
        <v>1</v>
      </c>
      <c r="AB86" s="193">
        <v>1</v>
      </c>
      <c r="AC86" s="123"/>
      <c r="AD86" s="4"/>
      <c r="AE86" s="4" t="str">
        <f>"   " &amp; TEXT(AB86,"#0.00%") &amp; " " &amp; "ppt 대본 준비 및 수정" &amp; "(박형진, 곽민수)" &amp; " " &amp; IF(M86="","",TEXT(M86,"M/D-")) &amp; IF(N86="","",TEXT(N86,"M/D")) &amp; " "</f>
        <v xml:space="preserve">   100.00% ppt 대본 준비 및 수정(박형진, 곽민수) 1/23-1/29 </v>
      </c>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row>
    <row r="87" spans="1:189" ht="13.2" outlineLevel="3">
      <c r="A87" s="116"/>
      <c r="B87" s="116"/>
      <c r="C87" s="116">
        <v>4</v>
      </c>
      <c r="D87" s="3" t="s">
        <v>1107</v>
      </c>
      <c r="E87" s="184"/>
      <c r="F87" s="184"/>
      <c r="G87" s="216"/>
      <c r="H87" s="217" t="s">
        <v>1086</v>
      </c>
      <c r="I87" s="184"/>
      <c r="J87" s="184"/>
      <c r="K87" s="184"/>
      <c r="L87" s="184"/>
      <c r="M87" s="185">
        <v>43495</v>
      </c>
      <c r="N87" s="185">
        <v>43495</v>
      </c>
      <c r="O87" s="186"/>
      <c r="P87" s="187">
        <v>1</v>
      </c>
      <c r="Q87" s="187">
        <v>1</v>
      </c>
      <c r="R87" s="188">
        <v>1</v>
      </c>
      <c r="S87" s="188">
        <v>1</v>
      </c>
      <c r="T87" s="185"/>
      <c r="U87" s="185"/>
      <c r="V87" s="189"/>
      <c r="W87" s="190">
        <v>0</v>
      </c>
      <c r="X87" s="191">
        <v>1</v>
      </c>
      <c r="Y87" s="229" t="s">
        <v>1232</v>
      </c>
      <c r="Z87" s="192"/>
      <c r="AA87" s="97">
        <v>1</v>
      </c>
      <c r="AB87" s="193">
        <v>1</v>
      </c>
      <c r="AC87" s="123"/>
      <c r="AD87" s="4"/>
      <c r="AE87" s="4" t="str">
        <f>"    " &amp; TEXT(AB87,"#0.00%") &amp; " " &amp; "발표" &amp; "(곽민수)" &amp; " " &amp; IF(M87="","",TEXT(M87,"M/D-")) &amp; IF(N87="","",TEXT(N87,"M/D")) &amp; " "</f>
        <v xml:space="preserve">    100.00% 발표(곽민수) 1/30-1/30 </v>
      </c>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row>
    <row r="88" spans="1:189" ht="13.2" outlineLevel="2">
      <c r="A88" s="116"/>
      <c r="B88" s="116" t="s">
        <v>996</v>
      </c>
      <c r="C88" s="116">
        <v>3</v>
      </c>
      <c r="D88" s="3" t="s">
        <v>1138</v>
      </c>
      <c r="E88" s="184"/>
      <c r="F88" s="184"/>
      <c r="G88" s="216" t="s">
        <v>1088</v>
      </c>
      <c r="H88" s="184"/>
      <c r="I88" s="184"/>
      <c r="J88" s="184"/>
      <c r="K88" s="184"/>
      <c r="L88" s="184"/>
      <c r="M88" s="185">
        <v>43586</v>
      </c>
      <c r="N88" s="185">
        <v>43600</v>
      </c>
      <c r="O88" s="186"/>
      <c r="P88" s="187">
        <v>51</v>
      </c>
      <c r="Q88" s="187">
        <v>0</v>
      </c>
      <c r="R88" s="188">
        <v>10</v>
      </c>
      <c r="S88" s="188">
        <v>0</v>
      </c>
      <c r="T88" s="185"/>
      <c r="U88" s="185"/>
      <c r="V88" s="189">
        <v>0</v>
      </c>
      <c r="W88" s="190">
        <v>0</v>
      </c>
      <c r="X88" s="191"/>
      <c r="Y88" s="186"/>
      <c r="Z88" s="192"/>
      <c r="AA88" s="97">
        <v>0</v>
      </c>
      <c r="AB88" s="193">
        <v>0</v>
      </c>
      <c r="AC88" s="123"/>
      <c r="AD88" s="4"/>
      <c r="AE88" s="4"/>
      <c r="AF88" s="4"/>
      <c r="AG88" s="4"/>
      <c r="AH88" s="4"/>
      <c r="AI88" s="4"/>
      <c r="AJ88" s="4"/>
      <c r="AK88" s="4"/>
      <c r="AL88" s="4"/>
      <c r="AM88" s="4"/>
      <c r="AN88" s="4"/>
      <c r="AO88" s="4"/>
      <c r="AP88" s="4"/>
      <c r="AQ88" s="4"/>
      <c r="AR88" s="4" t="str">
        <f>"   " &amp; TEXT(AB88,"#0.00%") &amp; " " &amp; "중간발표" &amp; " " &amp; IF(M88="","",TEXT(M88,"M/D-")) &amp; IF(N88="","",TEXT(N88,"M/D")) &amp; " "</f>
        <v xml:space="preserve">   0.00% 중간발표 5/1-5/15 </v>
      </c>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row>
    <row r="89" spans="1:189" ht="13.2" outlineLevel="3">
      <c r="A89" s="116"/>
      <c r="B89" s="116"/>
      <c r="C89" s="116">
        <v>4</v>
      </c>
      <c r="D89" s="3" t="s">
        <v>1108</v>
      </c>
      <c r="E89" s="184"/>
      <c r="F89" s="184"/>
      <c r="G89" s="216"/>
      <c r="H89" s="184" t="s">
        <v>1091</v>
      </c>
      <c r="I89" s="184"/>
      <c r="J89" s="184"/>
      <c r="K89" s="184"/>
      <c r="L89" s="184"/>
      <c r="M89" s="185">
        <v>43586</v>
      </c>
      <c r="N89" s="185">
        <v>43586</v>
      </c>
      <c r="O89" s="186"/>
      <c r="P89" s="187">
        <v>6</v>
      </c>
      <c r="Q89" s="187">
        <v>0</v>
      </c>
      <c r="R89" s="188">
        <v>1</v>
      </c>
      <c r="S89" s="188">
        <v>0</v>
      </c>
      <c r="T89" s="185"/>
      <c r="U89" s="185"/>
      <c r="V89" s="189"/>
      <c r="W89" s="190">
        <v>0</v>
      </c>
      <c r="X89" s="191">
        <v>6</v>
      </c>
      <c r="Y89" s="186"/>
      <c r="Z89" s="192"/>
      <c r="AA89" s="97">
        <v>0</v>
      </c>
      <c r="AB89" s="193">
        <v>0</v>
      </c>
      <c r="AC89" s="123"/>
      <c r="AD89" s="4"/>
      <c r="AE89" s="4"/>
      <c r="AF89" s="4"/>
      <c r="AG89" s="4"/>
      <c r="AH89" s="4"/>
      <c r="AI89" s="4"/>
      <c r="AJ89" s="4"/>
      <c r="AK89" s="4"/>
      <c r="AL89" s="4"/>
      <c r="AM89" s="4"/>
      <c r="AN89" s="4"/>
      <c r="AO89" s="4"/>
      <c r="AP89" s="4"/>
      <c r="AQ89" s="4"/>
      <c r="AR89" s="4" t="str">
        <f>"   " &amp; TEXT(AB89,"#0.00%") &amp; " " &amp; "발표자 선정" &amp; " " &amp; IF(M89="","",TEXT(M89,"M/D-")) &amp; IF(N89="","",TEXT(N89,"M/D")) &amp; " "</f>
        <v xml:space="preserve">   0.00% 발표자 선정 5/1-5/1 </v>
      </c>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row>
    <row r="90" spans="1:189" ht="13.2" outlineLevel="3">
      <c r="A90" s="116"/>
      <c r="B90" s="116"/>
      <c r="C90" s="116">
        <v>4</v>
      </c>
      <c r="D90" s="3" t="s">
        <v>1109</v>
      </c>
      <c r="E90" s="184"/>
      <c r="F90" s="184"/>
      <c r="G90" s="216"/>
      <c r="H90" s="184" t="s">
        <v>1090</v>
      </c>
      <c r="I90" s="184"/>
      <c r="J90" s="184"/>
      <c r="K90" s="184"/>
      <c r="L90" s="184"/>
      <c r="M90" s="185">
        <v>43587</v>
      </c>
      <c r="N90" s="185">
        <v>43599</v>
      </c>
      <c r="O90" s="186"/>
      <c r="P90" s="187">
        <v>32</v>
      </c>
      <c r="Q90" s="187">
        <v>0</v>
      </c>
      <c r="R90" s="188">
        <v>8</v>
      </c>
      <c r="S90" s="188">
        <v>0</v>
      </c>
      <c r="T90" s="185"/>
      <c r="U90" s="185"/>
      <c r="V90" s="189"/>
      <c r="W90" s="190">
        <v>0</v>
      </c>
      <c r="X90" s="191">
        <v>4</v>
      </c>
      <c r="Y90" s="186"/>
      <c r="Z90" s="192"/>
      <c r="AA90" s="97">
        <v>0</v>
      </c>
      <c r="AB90" s="193">
        <v>0</v>
      </c>
      <c r="AC90" s="123"/>
      <c r="AD90" s="4"/>
      <c r="AE90" s="4"/>
      <c r="AF90" s="4"/>
      <c r="AG90" s="4"/>
      <c r="AH90" s="4"/>
      <c r="AI90" s="4"/>
      <c r="AJ90" s="4"/>
      <c r="AK90" s="4"/>
      <c r="AL90" s="4"/>
      <c r="AM90" s="4"/>
      <c r="AN90" s="4"/>
      <c r="AO90" s="4"/>
      <c r="AP90" s="4"/>
      <c r="AQ90" s="4"/>
      <c r="AR90" s="4" t="str">
        <f>"    " &amp; TEXT(AB90,"#0.00%") &amp; " " &amp; "ppt 준비" &amp; " " &amp; IF(M90="","",TEXT(M90,"M/D-")) &amp; IF(N90="","",TEXT(N90,"M/D")) &amp; " "</f>
        <v xml:space="preserve">    0.00% ppt 준비 5/2-5/14 </v>
      </c>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row>
    <row r="91" spans="1:189" ht="13.2" outlineLevel="3">
      <c r="A91" s="116"/>
      <c r="B91" s="116"/>
      <c r="C91" s="116">
        <v>4</v>
      </c>
      <c r="D91" s="3" t="s">
        <v>1110</v>
      </c>
      <c r="E91" s="184"/>
      <c r="F91" s="184"/>
      <c r="G91" s="216"/>
      <c r="H91" s="184" t="s">
        <v>1100</v>
      </c>
      <c r="I91" s="184"/>
      <c r="J91" s="184"/>
      <c r="K91" s="184"/>
      <c r="L91" s="184"/>
      <c r="M91" s="185">
        <v>43592</v>
      </c>
      <c r="N91" s="185">
        <v>43599</v>
      </c>
      <c r="O91" s="186"/>
      <c r="P91" s="187">
        <v>12</v>
      </c>
      <c r="Q91" s="187">
        <v>0</v>
      </c>
      <c r="R91" s="188">
        <v>6</v>
      </c>
      <c r="S91" s="188">
        <v>0</v>
      </c>
      <c r="T91" s="185"/>
      <c r="U91" s="185"/>
      <c r="V91" s="189"/>
      <c r="W91" s="190">
        <v>0</v>
      </c>
      <c r="X91" s="191">
        <v>2</v>
      </c>
      <c r="Y91" s="186"/>
      <c r="Z91" s="192"/>
      <c r="AA91" s="97">
        <v>0</v>
      </c>
      <c r="AB91" s="193">
        <v>0</v>
      </c>
      <c r="AC91" s="123"/>
      <c r="AD91" s="4"/>
      <c r="AE91" s="4"/>
      <c r="AF91" s="4"/>
      <c r="AG91" s="4"/>
      <c r="AH91" s="4"/>
      <c r="AI91" s="4"/>
      <c r="AJ91" s="4"/>
      <c r="AK91" s="4"/>
      <c r="AL91" s="4"/>
      <c r="AM91" s="4"/>
      <c r="AN91" s="4"/>
      <c r="AO91" s="4"/>
      <c r="AP91" s="4"/>
      <c r="AQ91" s="4"/>
      <c r="AR91" s="4"/>
      <c r="AS91" s="4" t="str">
        <f>"  " &amp; TEXT(AB91,"#0.00%") &amp; " " &amp; "ppt 대본 준비 및 수정" &amp; " " &amp; IF(M91="","",TEXT(M91,"M/D-")) &amp; IF(N91="","",TEXT(N91,"M/D")) &amp; " "</f>
        <v xml:space="preserve">  0.00% ppt 대본 준비 및 수정 5/7-5/14 </v>
      </c>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c r="FF91" s="4"/>
      <c r="FG91" s="4"/>
      <c r="FH91" s="4"/>
      <c r="FI91" s="4"/>
      <c r="FJ91" s="4"/>
      <c r="FK91" s="4"/>
      <c r="FL91" s="4"/>
      <c r="FM91" s="4"/>
      <c r="FN91" s="4"/>
      <c r="FO91" s="4"/>
      <c r="FP91" s="4"/>
      <c r="FQ91" s="4"/>
      <c r="FR91" s="4"/>
      <c r="FS91" s="4"/>
      <c r="FT91" s="4"/>
      <c r="FU91" s="4"/>
      <c r="FV91" s="4"/>
      <c r="FW91" s="4"/>
      <c r="FX91" s="4"/>
      <c r="FY91" s="4"/>
      <c r="FZ91" s="4"/>
      <c r="GA91" s="4"/>
      <c r="GB91" s="4"/>
      <c r="GC91" s="4"/>
      <c r="GD91" s="4"/>
      <c r="GE91" s="4"/>
      <c r="GF91" s="4"/>
      <c r="GG91" s="4"/>
    </row>
    <row r="92" spans="1:189" ht="13.2" outlineLevel="3">
      <c r="A92" s="116"/>
      <c r="B92" s="116"/>
      <c r="C92" s="116">
        <v>4</v>
      </c>
      <c r="D92" s="3" t="s">
        <v>1111</v>
      </c>
      <c r="E92" s="184"/>
      <c r="F92" s="184"/>
      <c r="G92" s="216"/>
      <c r="H92" s="216" t="s">
        <v>1086</v>
      </c>
      <c r="I92" s="184"/>
      <c r="J92" s="184"/>
      <c r="K92" s="184"/>
      <c r="L92" s="184"/>
      <c r="M92" s="185">
        <v>43600</v>
      </c>
      <c r="N92" s="185">
        <v>43600</v>
      </c>
      <c r="O92" s="186"/>
      <c r="P92" s="187">
        <v>1</v>
      </c>
      <c r="Q92" s="187">
        <v>0</v>
      </c>
      <c r="R92" s="188">
        <v>1</v>
      </c>
      <c r="S92" s="188">
        <v>0</v>
      </c>
      <c r="T92" s="185"/>
      <c r="U92" s="185"/>
      <c r="V92" s="189"/>
      <c r="W92" s="190">
        <v>0</v>
      </c>
      <c r="X92" s="191">
        <v>1</v>
      </c>
      <c r="Y92" s="186"/>
      <c r="Z92" s="192"/>
      <c r="AA92" s="97">
        <v>0</v>
      </c>
      <c r="AB92" s="193">
        <v>0</v>
      </c>
      <c r="AC92" s="123"/>
      <c r="AD92" s="4"/>
      <c r="AE92" s="4"/>
      <c r="AF92" s="4"/>
      <c r="AG92" s="4"/>
      <c r="AH92" s="4"/>
      <c r="AI92" s="4"/>
      <c r="AJ92" s="4"/>
      <c r="AK92" s="4"/>
      <c r="AL92" s="4"/>
      <c r="AM92" s="4"/>
      <c r="AN92" s="4"/>
      <c r="AO92" s="4"/>
      <c r="AP92" s="4"/>
      <c r="AQ92" s="4"/>
      <c r="AR92" s="4"/>
      <c r="AS92" s="4"/>
      <c r="AT92" s="4" t="str">
        <f>"   " &amp; TEXT(AB92,"#0.00%") &amp; " " &amp; "발표" &amp; " " &amp; IF(M92="","",TEXT(M92,"M/D-")) &amp; IF(N92="","",TEXT(N92,"M/D")) &amp; " "</f>
        <v xml:space="preserve">   0.00% 발표 5/15-5/15 </v>
      </c>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c r="FF92" s="4"/>
      <c r="FG92" s="4"/>
      <c r="FH92" s="4"/>
      <c r="FI92" s="4"/>
      <c r="FJ92" s="4"/>
      <c r="FK92" s="4"/>
      <c r="FL92" s="4"/>
      <c r="FM92" s="4"/>
      <c r="FN92" s="4"/>
      <c r="FO92" s="4"/>
      <c r="FP92" s="4"/>
      <c r="FQ92" s="4"/>
      <c r="FR92" s="4"/>
      <c r="FS92" s="4"/>
      <c r="FT92" s="4"/>
      <c r="FU92" s="4"/>
      <c r="FV92" s="4"/>
      <c r="FW92" s="4"/>
      <c r="FX92" s="4"/>
      <c r="FY92" s="4"/>
      <c r="FZ92" s="4"/>
      <c r="GA92" s="4"/>
      <c r="GB92" s="4"/>
      <c r="GC92" s="4"/>
      <c r="GD92" s="4"/>
      <c r="GE92" s="4"/>
      <c r="GF92" s="4"/>
      <c r="GG92" s="4"/>
    </row>
    <row r="93" spans="1:189" outlineLevel="2">
      <c r="A93" s="116"/>
      <c r="B93" s="116" t="s">
        <v>996</v>
      </c>
      <c r="C93" s="116">
        <v>3</v>
      </c>
      <c r="D93" s="3" t="s">
        <v>1139</v>
      </c>
      <c r="E93" s="184"/>
      <c r="F93" s="184"/>
      <c r="G93" s="184" t="s">
        <v>1089</v>
      </c>
      <c r="H93" s="184"/>
      <c r="I93" s="184"/>
      <c r="J93" s="184"/>
      <c r="K93" s="184"/>
      <c r="L93" s="184"/>
      <c r="M93" s="185">
        <v>43621</v>
      </c>
      <c r="N93" s="185">
        <v>43635</v>
      </c>
      <c r="O93" s="186"/>
      <c r="P93" s="187">
        <v>51</v>
      </c>
      <c r="Q93" s="187">
        <v>0</v>
      </c>
      <c r="R93" s="188">
        <v>10</v>
      </c>
      <c r="S93" s="188">
        <v>0</v>
      </c>
      <c r="T93" s="185"/>
      <c r="U93" s="185"/>
      <c r="V93" s="189">
        <v>0</v>
      </c>
      <c r="W93" s="190">
        <v>0</v>
      </c>
      <c r="X93" s="191"/>
      <c r="Y93" s="186"/>
      <c r="Z93" s="192"/>
      <c r="AA93" s="97">
        <v>0</v>
      </c>
      <c r="AB93" s="193">
        <v>0</v>
      </c>
      <c r="AC93" s="123"/>
      <c r="AD93" s="4"/>
      <c r="AE93" s="4"/>
      <c r="AF93" s="4"/>
      <c r="AG93" s="4"/>
      <c r="AH93" s="4"/>
      <c r="AI93" s="4"/>
      <c r="AJ93" s="4"/>
      <c r="AK93" s="4"/>
      <c r="AL93" s="4"/>
      <c r="AM93" s="4"/>
      <c r="AN93" s="4"/>
      <c r="AO93" s="4"/>
      <c r="AP93" s="4"/>
      <c r="AQ93" s="4"/>
      <c r="AR93" s="4"/>
      <c r="AS93" s="4"/>
      <c r="AT93" s="4"/>
      <c r="AU93" s="4"/>
      <c r="AV93" s="4"/>
      <c r="AW93" s="4" t="str">
        <f>"   " &amp; TEXT(AB93,"#0.00%") &amp; " " &amp; "최종발표" &amp; " " &amp; IF(M93="","",TEXT(M93,"M/D-")) &amp; IF(N93="","",TEXT(N93,"M/D")) &amp; " "</f>
        <v xml:space="preserve">   0.00% 최종발표 6/5-6/19 </v>
      </c>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row>
    <row r="94" spans="1:189" ht="13.2" outlineLevel="3">
      <c r="A94" s="116"/>
      <c r="B94" s="116"/>
      <c r="C94" s="116">
        <v>4</v>
      </c>
      <c r="D94" s="3" t="s">
        <v>1112</v>
      </c>
      <c r="E94" s="184"/>
      <c r="F94" s="184"/>
      <c r="G94" s="184"/>
      <c r="H94" s="216" t="s">
        <v>1091</v>
      </c>
      <c r="I94" s="184"/>
      <c r="J94" s="184"/>
      <c r="K94" s="184"/>
      <c r="L94" s="184"/>
      <c r="M94" s="185">
        <v>43621</v>
      </c>
      <c r="N94" s="185">
        <v>43621</v>
      </c>
      <c r="O94" s="186"/>
      <c r="P94" s="187">
        <v>6</v>
      </c>
      <c r="Q94" s="187">
        <v>0</v>
      </c>
      <c r="R94" s="188">
        <v>1</v>
      </c>
      <c r="S94" s="188">
        <v>0</v>
      </c>
      <c r="T94" s="185"/>
      <c r="U94" s="185"/>
      <c r="V94" s="189"/>
      <c r="W94" s="190">
        <v>0</v>
      </c>
      <c r="X94" s="191">
        <v>6</v>
      </c>
      <c r="Y94" s="186"/>
      <c r="Z94" s="192"/>
      <c r="AA94" s="97">
        <v>0</v>
      </c>
      <c r="AB94" s="193">
        <v>0</v>
      </c>
      <c r="AC94" s="123"/>
      <c r="AD94" s="4"/>
      <c r="AE94" s="4"/>
      <c r="AF94" s="4"/>
      <c r="AG94" s="4"/>
      <c r="AH94" s="4"/>
      <c r="AI94" s="4"/>
      <c r="AJ94" s="4"/>
      <c r="AK94" s="4"/>
      <c r="AL94" s="4"/>
      <c r="AM94" s="4"/>
      <c r="AN94" s="4"/>
      <c r="AO94" s="4"/>
      <c r="AP94" s="4"/>
      <c r="AQ94" s="4"/>
      <c r="AR94" s="4"/>
      <c r="AS94" s="4"/>
      <c r="AT94" s="4"/>
      <c r="AU94" s="4"/>
      <c r="AV94" s="4"/>
      <c r="AW94" s="4" t="str">
        <f>"   " &amp; TEXT(AB94,"#0.00%") &amp; " " &amp; "발표자 선정" &amp; " " &amp; IF(M94="","",TEXT(M94,"M/D-")) &amp; IF(N94="","",TEXT(N94,"M/D")) &amp; " "</f>
        <v xml:space="preserve">   0.00% 발표자 선정 6/5-6/5 </v>
      </c>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c r="FF94" s="4"/>
      <c r="FG94" s="4"/>
      <c r="FH94" s="4"/>
      <c r="FI94" s="4"/>
      <c r="FJ94" s="4"/>
      <c r="FK94" s="4"/>
      <c r="FL94" s="4"/>
      <c r="FM94" s="4"/>
      <c r="FN94" s="4"/>
      <c r="FO94" s="4"/>
      <c r="FP94" s="4"/>
      <c r="FQ94" s="4"/>
      <c r="FR94" s="4"/>
      <c r="FS94" s="4"/>
      <c r="FT94" s="4"/>
      <c r="FU94" s="4"/>
      <c r="FV94" s="4"/>
      <c r="FW94" s="4"/>
      <c r="FX94" s="4"/>
      <c r="FY94" s="4"/>
      <c r="FZ94" s="4"/>
      <c r="GA94" s="4"/>
      <c r="GB94" s="4"/>
      <c r="GC94" s="4"/>
      <c r="GD94" s="4"/>
      <c r="GE94" s="4"/>
      <c r="GF94" s="4"/>
      <c r="GG94" s="4"/>
    </row>
    <row r="95" spans="1:189" outlineLevel="3">
      <c r="A95" s="116"/>
      <c r="B95" s="116"/>
      <c r="C95" s="116">
        <v>4</v>
      </c>
      <c r="D95" s="3" t="s">
        <v>1113</v>
      </c>
      <c r="E95" s="184"/>
      <c r="F95" s="184"/>
      <c r="G95" s="184"/>
      <c r="H95" s="184" t="s">
        <v>1090</v>
      </c>
      <c r="I95" s="184"/>
      <c r="J95" s="184"/>
      <c r="K95" s="184"/>
      <c r="L95" s="184"/>
      <c r="M95" s="185">
        <v>43622</v>
      </c>
      <c r="N95" s="185">
        <v>43634</v>
      </c>
      <c r="O95" s="186"/>
      <c r="P95" s="187">
        <v>32</v>
      </c>
      <c r="Q95" s="187">
        <v>0</v>
      </c>
      <c r="R95" s="188">
        <v>8</v>
      </c>
      <c r="S95" s="188">
        <v>0</v>
      </c>
      <c r="T95" s="185"/>
      <c r="U95" s="185"/>
      <c r="V95" s="189"/>
      <c r="W95" s="190">
        <v>0</v>
      </c>
      <c r="X95" s="191">
        <v>4</v>
      </c>
      <c r="Y95" s="186"/>
      <c r="Z95" s="192"/>
      <c r="AA95" s="97">
        <v>0</v>
      </c>
      <c r="AB95" s="193">
        <v>0</v>
      </c>
      <c r="AC95" s="123"/>
      <c r="AD95" s="4"/>
      <c r="AE95" s="4"/>
      <c r="AF95" s="4"/>
      <c r="AG95" s="4"/>
      <c r="AH95" s="4"/>
      <c r="AI95" s="4"/>
      <c r="AJ95" s="4"/>
      <c r="AK95" s="4"/>
      <c r="AL95" s="4"/>
      <c r="AM95" s="4"/>
      <c r="AN95" s="4"/>
      <c r="AO95" s="4"/>
      <c r="AP95" s="4"/>
      <c r="AQ95" s="4"/>
      <c r="AR95" s="4"/>
      <c r="AS95" s="4"/>
      <c r="AT95" s="4"/>
      <c r="AU95" s="4"/>
      <c r="AV95" s="4"/>
      <c r="AW95" s="4" t="str">
        <f>"    " &amp; TEXT(AB95,"#0.00%") &amp; " " &amp; "ppt 준비" &amp; " " &amp; IF(M95="","",TEXT(M95,"M/D-")) &amp; IF(N95="","",TEXT(N95,"M/D")) &amp; " "</f>
        <v xml:space="preserve">    0.00% ppt 준비 6/6-6/18 </v>
      </c>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c r="FF95" s="4"/>
      <c r="FG95" s="4"/>
      <c r="FH95" s="4"/>
      <c r="FI95" s="4"/>
      <c r="FJ95" s="4"/>
      <c r="FK95" s="4"/>
      <c r="FL95" s="4"/>
      <c r="FM95" s="4"/>
      <c r="FN95" s="4"/>
      <c r="FO95" s="4"/>
      <c r="FP95" s="4"/>
      <c r="FQ95" s="4"/>
      <c r="FR95" s="4"/>
      <c r="FS95" s="4"/>
      <c r="FT95" s="4"/>
      <c r="FU95" s="4"/>
      <c r="FV95" s="4"/>
      <c r="FW95" s="4"/>
      <c r="FX95" s="4"/>
      <c r="FY95" s="4"/>
      <c r="FZ95" s="4"/>
      <c r="GA95" s="4"/>
      <c r="GB95" s="4"/>
      <c r="GC95" s="4"/>
      <c r="GD95" s="4"/>
      <c r="GE95" s="4"/>
      <c r="GF95" s="4"/>
      <c r="GG95" s="4"/>
    </row>
    <row r="96" spans="1:189" outlineLevel="3">
      <c r="A96" s="116"/>
      <c r="B96" s="116"/>
      <c r="C96" s="116">
        <v>4</v>
      </c>
      <c r="D96" s="3" t="s">
        <v>1114</v>
      </c>
      <c r="E96" s="184"/>
      <c r="F96" s="184"/>
      <c r="G96" s="184"/>
      <c r="H96" s="184" t="s">
        <v>1100</v>
      </c>
      <c r="I96" s="184"/>
      <c r="J96" s="184"/>
      <c r="K96" s="184"/>
      <c r="L96" s="184"/>
      <c r="M96" s="185">
        <v>43627</v>
      </c>
      <c r="N96" s="185">
        <v>43634</v>
      </c>
      <c r="O96" s="186"/>
      <c r="P96" s="187">
        <v>12</v>
      </c>
      <c r="Q96" s="187">
        <v>0</v>
      </c>
      <c r="R96" s="188">
        <v>6</v>
      </c>
      <c r="S96" s="188">
        <v>0</v>
      </c>
      <c r="T96" s="185"/>
      <c r="U96" s="185"/>
      <c r="V96" s="189"/>
      <c r="W96" s="190">
        <v>0</v>
      </c>
      <c r="X96" s="191">
        <v>2</v>
      </c>
      <c r="Y96" s="186"/>
      <c r="Z96" s="192"/>
      <c r="AA96" s="97">
        <v>0</v>
      </c>
      <c r="AB96" s="193">
        <v>0</v>
      </c>
      <c r="AC96" s="123"/>
      <c r="AD96" s="4"/>
      <c r="AE96" s="4"/>
      <c r="AF96" s="4"/>
      <c r="AG96" s="4"/>
      <c r="AH96" s="4"/>
      <c r="AI96" s="4"/>
      <c r="AJ96" s="4"/>
      <c r="AK96" s="4"/>
      <c r="AL96" s="4"/>
      <c r="AM96" s="4"/>
      <c r="AN96" s="4"/>
      <c r="AO96" s="4"/>
      <c r="AP96" s="4"/>
      <c r="AQ96" s="4"/>
      <c r="AR96" s="4"/>
      <c r="AS96" s="4"/>
      <c r="AT96" s="4"/>
      <c r="AU96" s="4"/>
      <c r="AV96" s="4"/>
      <c r="AW96" s="4"/>
      <c r="AX96" s="4" t="str">
        <f>"  " &amp; TEXT(AB96,"#0.00%") &amp; " " &amp; "ppt 대본 준비 및 수정" &amp; " " &amp; IF(M96="","",TEXT(M96,"M/D-")) &amp; IF(N96="","",TEXT(N96,"M/D")) &amp; " "</f>
        <v xml:space="preserve">  0.00% ppt 대본 준비 및 수정 6/11-6/18 </v>
      </c>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c r="FF96" s="4"/>
      <c r="FG96" s="4"/>
      <c r="FH96" s="4"/>
      <c r="FI96" s="4"/>
      <c r="FJ96" s="4"/>
      <c r="FK96" s="4"/>
      <c r="FL96" s="4"/>
      <c r="FM96" s="4"/>
      <c r="FN96" s="4"/>
      <c r="FO96" s="4"/>
      <c r="FP96" s="4"/>
      <c r="FQ96" s="4"/>
      <c r="FR96" s="4"/>
      <c r="FS96" s="4"/>
      <c r="FT96" s="4"/>
      <c r="FU96" s="4"/>
      <c r="FV96" s="4"/>
      <c r="FW96" s="4"/>
      <c r="FX96" s="4"/>
      <c r="FY96" s="4"/>
      <c r="FZ96" s="4"/>
      <c r="GA96" s="4"/>
      <c r="GB96" s="4"/>
      <c r="GC96" s="4"/>
      <c r="GD96" s="4"/>
      <c r="GE96" s="4"/>
      <c r="GF96" s="4"/>
      <c r="GG96" s="4"/>
    </row>
    <row r="97" spans="1:189" ht="13.2" outlineLevel="3">
      <c r="A97" s="116"/>
      <c r="B97" s="116"/>
      <c r="C97" s="116">
        <v>4</v>
      </c>
      <c r="D97" s="3" t="s">
        <v>1115</v>
      </c>
      <c r="E97" s="184"/>
      <c r="F97" s="184"/>
      <c r="G97" s="184"/>
      <c r="H97" s="216" t="s">
        <v>1086</v>
      </c>
      <c r="I97" s="184"/>
      <c r="J97" s="184"/>
      <c r="K97" s="184"/>
      <c r="L97" s="184"/>
      <c r="M97" s="185">
        <v>43635</v>
      </c>
      <c r="N97" s="185">
        <v>43635</v>
      </c>
      <c r="O97" s="186"/>
      <c r="P97" s="187">
        <v>1</v>
      </c>
      <c r="Q97" s="187">
        <v>0</v>
      </c>
      <c r="R97" s="188">
        <v>1</v>
      </c>
      <c r="S97" s="188">
        <v>0</v>
      </c>
      <c r="T97" s="185"/>
      <c r="U97" s="185"/>
      <c r="V97" s="189"/>
      <c r="W97" s="190">
        <v>0</v>
      </c>
      <c r="X97" s="191">
        <v>1</v>
      </c>
      <c r="Y97" s="186"/>
      <c r="Z97" s="192"/>
      <c r="AA97" s="97">
        <v>0</v>
      </c>
      <c r="AB97" s="193">
        <v>0</v>
      </c>
      <c r="AC97" s="123"/>
      <c r="AD97" s="4"/>
      <c r="AE97" s="4"/>
      <c r="AF97" s="4"/>
      <c r="AG97" s="4"/>
      <c r="AH97" s="4"/>
      <c r="AI97" s="4"/>
      <c r="AJ97" s="4"/>
      <c r="AK97" s="4"/>
      <c r="AL97" s="4"/>
      <c r="AM97" s="4"/>
      <c r="AN97" s="4"/>
      <c r="AO97" s="4"/>
      <c r="AP97" s="4"/>
      <c r="AQ97" s="4"/>
      <c r="AR97" s="4"/>
      <c r="AS97" s="4"/>
      <c r="AT97" s="4"/>
      <c r="AU97" s="4"/>
      <c r="AV97" s="4"/>
      <c r="AW97" s="4"/>
      <c r="AX97" s="4"/>
      <c r="AY97" s="4" t="str">
        <f>"   " &amp; TEXT(AB97,"#0.00%") &amp; " " &amp; "발표" &amp; " " &amp; IF(M97="","",TEXT(M97,"M/D-")) &amp; IF(N97="","",TEXT(N97,"M/D")) &amp; " "</f>
        <v xml:space="preserve">   0.00% 발표 6/19-6/19 </v>
      </c>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row>
    <row r="98" spans="1:189">
      <c r="A98" s="194"/>
      <c r="B98" s="194"/>
      <c r="C98" s="194">
        <f>IF(NOT(E98=""),1,IF(NOT(F94=""),2,IF(NOT(G94=""),3,IF(NOT(H94=""),4,IF(NOT(I98=""),5,IF(NOT(J98=""),6,IF(NOT(K98=""),7,0)))))))</f>
        <v>4</v>
      </c>
      <c r="D98" s="195"/>
      <c r="E98" s="196"/>
      <c r="F98" s="196"/>
      <c r="G98" s="196"/>
      <c r="H98" s="196"/>
      <c r="I98" s="196"/>
      <c r="J98" s="196"/>
      <c r="K98" s="196"/>
      <c r="L98" s="196"/>
      <c r="M98" s="197"/>
      <c r="N98" s="197"/>
      <c r="O98" s="198"/>
      <c r="P98" s="199"/>
      <c r="Q98" s="199"/>
      <c r="R98" s="200"/>
      <c r="S98" s="200"/>
      <c r="T98" s="197"/>
      <c r="U98" s="197"/>
      <c r="V98" s="201"/>
      <c r="W98" s="202"/>
      <c r="X98" s="203"/>
      <c r="Y98" s="198"/>
      <c r="Z98" s="204"/>
      <c r="AA98" s="205"/>
      <c r="AB98" s="206"/>
      <c r="AC98" s="182"/>
      <c r="AD98" s="182"/>
      <c r="AE98" s="182"/>
      <c r="AF98" s="182"/>
      <c r="AG98" s="182"/>
      <c r="AH98" s="182"/>
      <c r="AI98" s="182"/>
      <c r="AJ98" s="182"/>
      <c r="AK98" s="182"/>
      <c r="AL98" s="182"/>
      <c r="AM98" s="182"/>
      <c r="AN98" s="182"/>
      <c r="AO98" s="182"/>
      <c r="AP98" s="182"/>
      <c r="AQ98" s="182"/>
      <c r="AR98" s="182"/>
      <c r="AS98" s="182"/>
      <c r="AT98" s="182"/>
      <c r="AU98" s="182"/>
      <c r="AV98" s="182"/>
      <c r="AW98" s="182"/>
      <c r="AX98" s="182"/>
      <c r="AY98" s="182"/>
      <c r="AZ98" s="182"/>
      <c r="BA98" s="182"/>
      <c r="BB98" s="182"/>
      <c r="BC98" s="182"/>
      <c r="BD98" s="182"/>
      <c r="BE98" s="182"/>
      <c r="BF98" s="182"/>
      <c r="BG98" s="182"/>
      <c r="BH98" s="182"/>
      <c r="BI98" s="182"/>
      <c r="BJ98" s="182"/>
      <c r="BK98" s="182"/>
      <c r="BL98" s="182"/>
      <c r="BM98" s="182"/>
      <c r="BN98" s="182"/>
      <c r="BO98" s="182"/>
      <c r="BP98" s="182"/>
      <c r="BQ98" s="182"/>
      <c r="BR98" s="182"/>
      <c r="BS98" s="182"/>
      <c r="BT98" s="182"/>
      <c r="BU98" s="182"/>
      <c r="BV98" s="182"/>
      <c r="BW98" s="182"/>
      <c r="BX98" s="182"/>
      <c r="BY98" s="182"/>
      <c r="BZ98" s="182"/>
      <c r="CA98" s="182"/>
      <c r="CB98" s="182"/>
      <c r="CC98" s="182"/>
      <c r="CD98" s="182"/>
      <c r="CE98" s="182"/>
      <c r="CF98" s="182"/>
      <c r="CG98" s="182"/>
      <c r="CH98" s="182"/>
      <c r="CI98" s="182"/>
      <c r="CJ98" s="182"/>
      <c r="CK98" s="182"/>
      <c r="CL98" s="182"/>
      <c r="CM98" s="182"/>
      <c r="CN98" s="182"/>
      <c r="CO98" s="182"/>
      <c r="CP98" s="182"/>
      <c r="CQ98" s="182"/>
      <c r="CR98" s="182"/>
      <c r="CS98" s="182"/>
      <c r="CT98" s="182"/>
      <c r="CU98" s="182"/>
      <c r="CV98" s="182"/>
      <c r="CW98" s="182"/>
      <c r="CX98" s="182"/>
      <c r="CY98" s="182"/>
      <c r="CZ98" s="182"/>
      <c r="DA98" s="182"/>
      <c r="DB98" s="182"/>
      <c r="DC98" s="182"/>
      <c r="DD98" s="182"/>
      <c r="DE98" s="182"/>
      <c r="DF98" s="182"/>
      <c r="DG98" s="182"/>
      <c r="DH98" s="182"/>
      <c r="DI98" s="182"/>
      <c r="DJ98" s="182"/>
      <c r="DK98" s="182"/>
      <c r="DL98" s="182"/>
      <c r="DM98" s="182"/>
      <c r="DN98" s="182"/>
      <c r="DO98" s="182"/>
      <c r="DP98" s="182"/>
      <c r="DQ98" s="182"/>
      <c r="DR98" s="182"/>
      <c r="DS98" s="182"/>
      <c r="DT98" s="182"/>
      <c r="DU98" s="182"/>
      <c r="DV98" s="182"/>
      <c r="DW98" s="182"/>
      <c r="DX98" s="182"/>
      <c r="DY98" s="182"/>
      <c r="DZ98" s="182"/>
      <c r="EA98" s="182"/>
      <c r="EB98" s="182"/>
      <c r="EC98" s="182"/>
      <c r="ED98" s="182"/>
      <c r="EE98" s="182"/>
      <c r="EF98" s="182"/>
      <c r="EG98" s="182"/>
      <c r="EH98" s="182"/>
      <c r="EI98" s="182"/>
      <c r="EJ98" s="182"/>
      <c r="EK98" s="182"/>
      <c r="EL98" s="182"/>
      <c r="EM98" s="182"/>
      <c r="EN98" s="182"/>
      <c r="EO98" s="182"/>
      <c r="EP98" s="182"/>
      <c r="EQ98" s="182"/>
      <c r="ER98" s="182"/>
      <c r="ES98" s="182"/>
      <c r="ET98" s="182"/>
      <c r="EU98" s="182"/>
      <c r="EV98" s="182"/>
      <c r="EW98" s="182"/>
      <c r="EX98" s="182"/>
      <c r="EY98" s="182"/>
      <c r="EZ98" s="182"/>
      <c r="FA98" s="182"/>
      <c r="FB98" s="182"/>
      <c r="FC98" s="182"/>
      <c r="FD98" s="182"/>
      <c r="FE98" s="182"/>
      <c r="FF98" s="182"/>
      <c r="FG98" s="182"/>
      <c r="FH98" s="182"/>
      <c r="FI98" s="182"/>
      <c r="FJ98" s="182"/>
      <c r="FK98" s="182"/>
      <c r="FL98" s="182"/>
      <c r="FM98" s="182"/>
      <c r="FN98" s="182"/>
      <c r="FO98" s="182"/>
      <c r="FP98" s="182"/>
      <c r="FQ98" s="182"/>
      <c r="FR98" s="182"/>
      <c r="FS98" s="182"/>
      <c r="FT98" s="182"/>
      <c r="FU98" s="182"/>
      <c r="FV98" s="182"/>
      <c r="FW98" s="182"/>
      <c r="FX98" s="182"/>
      <c r="FY98" s="182"/>
      <c r="FZ98" s="182"/>
      <c r="GA98" s="182"/>
      <c r="GB98" s="182"/>
      <c r="GC98" s="182"/>
      <c r="GD98" s="182"/>
      <c r="GE98" s="182"/>
      <c r="GF98" s="182"/>
      <c r="GG98" s="182"/>
    </row>
    <row r="99" spans="1:189" ht="13.2">
      <c r="A99" s="116"/>
      <c r="B99" s="116"/>
      <c r="C99" s="116">
        <f>IF(NOT(E99=""),1,IF(NOT(F95=""),2,IF(NOT(G95=""),3,IF(NOT(H95=""),4,IF(NOT(I99=""),5,IF(NOT(J99=""),6,IF(NOT(K99=""),7,0)))))))</f>
        <v>4</v>
      </c>
      <c r="D99" s="3"/>
      <c r="E99" s="184"/>
      <c r="F99" s="184"/>
      <c r="G99" s="184"/>
      <c r="H99" s="216"/>
      <c r="I99" s="184"/>
      <c r="J99" s="184"/>
      <c r="K99" s="184"/>
      <c r="L99" s="184"/>
      <c r="M99" s="185"/>
      <c r="N99" s="185"/>
      <c r="O99" s="186"/>
      <c r="P99" s="187"/>
      <c r="Q99" s="187"/>
      <c r="R99" s="188"/>
      <c r="S99" s="188"/>
      <c r="T99" s="185"/>
      <c r="U99" s="185"/>
      <c r="V99" s="189"/>
      <c r="W99" s="190"/>
      <c r="X99" s="191"/>
      <c r="Y99" s="186"/>
      <c r="Z99" s="192"/>
      <c r="AA99" s="97"/>
      <c r="AB99" s="193"/>
    </row>
    <row r="100" spans="1:189">
      <c r="A100" s="116"/>
      <c r="B100" s="116"/>
      <c r="C100" s="116">
        <f>IF(NOT(E100=""),1,IF(NOT(F96=""),2,IF(NOT(G96=""),3,IF(NOT(H96=""),4,IF(NOT(I100=""),5,IF(NOT(J100=""),6,IF(NOT(K100=""),7,0)))))))</f>
        <v>4</v>
      </c>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189">
      <c r="A101" s="116"/>
      <c r="B101" s="116"/>
      <c r="C101" s="116">
        <f>IF(NOT(E101=""),1,IF(NOT(F98=""),2,IF(NOT(G98=""),3,IF(NOT(H98=""),4,IF(NOT(I101=""),5,IF(NOT(J101=""),6,IF(NOT(K101=""),7,0)))))))</f>
        <v>0</v>
      </c>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189">
      <c r="A102" s="116"/>
      <c r="B102" s="116"/>
      <c r="C102" s="116">
        <f>IF(NOT(E102=""),1,IF(NOT(F99=""),2,IF(NOT(G99=""),3,IF(NOT(H99=""),4,IF(NOT(I102=""),5,IF(NOT(J102=""),6,IF(NOT(K102=""),7,0)))))))</f>
        <v>0</v>
      </c>
      <c r="D102" s="3"/>
      <c r="E102" s="184"/>
      <c r="F102" s="114"/>
      <c r="G102" s="114"/>
      <c r="H102" s="11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189">
      <c r="A103" s="116"/>
      <c r="B103" s="116"/>
      <c r="C103" s="116">
        <f>IF(NOT(E103=""),1,IF(NOT(F100=""),2,IF(NOT(G100=""),3,IF(NOT(H100=""),4,IF(NOT(I103=""),5,IF(NOT(J103=""),6,IF(NOT(K103=""),7,0)))))))</f>
        <v>0</v>
      </c>
      <c r="D103" s="3"/>
      <c r="E103" s="184"/>
      <c r="F103" s="114"/>
      <c r="G103" s="114"/>
      <c r="H103" s="11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189">
      <c r="A104" s="116"/>
      <c r="B104" s="116" t="s">
        <v>996</v>
      </c>
      <c r="C104" s="116">
        <f>IF(NOT(E104=""),1,IF(NOT(F101=""),2,IF(NOT(G101=""),3,IF(NOT(H101=""),4,IF(NOT(I104=""),5,IF(NOT(J104=""),6,IF(NOT(K104=""),7,0)))))))</f>
        <v>0</v>
      </c>
      <c r="D104" s="3"/>
      <c r="E104" s="184"/>
      <c r="F104" s="114"/>
      <c r="G104" s="114"/>
      <c r="H104" s="11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189">
      <c r="A105" s="116"/>
      <c r="B105" s="116" t="s">
        <v>996</v>
      </c>
      <c r="C105" s="116">
        <v>2</v>
      </c>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189">
      <c r="A106" s="116"/>
      <c r="B106" s="116"/>
      <c r="C106" s="116">
        <v>3</v>
      </c>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189">
      <c r="A107" s="116"/>
      <c r="B107" s="116" t="s">
        <v>996</v>
      </c>
      <c r="C107" s="116">
        <v>3</v>
      </c>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189">
      <c r="A108" s="116"/>
      <c r="B108" s="116"/>
      <c r="C108" s="116">
        <v>4</v>
      </c>
      <c r="D108" s="3"/>
      <c r="E108" s="184"/>
      <c r="F108" s="114"/>
      <c r="G108" s="114"/>
      <c r="H108" s="114"/>
      <c r="I108" s="114"/>
      <c r="J108" s="114"/>
      <c r="K108" s="114"/>
      <c r="L108" s="114"/>
      <c r="M108" s="185"/>
      <c r="N108" s="185"/>
      <c r="O108" s="186"/>
      <c r="P108" s="187"/>
      <c r="Q108" s="187"/>
      <c r="R108" s="188"/>
      <c r="S108" s="188"/>
      <c r="T108" s="185"/>
      <c r="U108" s="185"/>
      <c r="V108" s="189"/>
      <c r="W108" s="190"/>
      <c r="X108" s="191"/>
      <c r="Y108" s="186"/>
      <c r="Z108" s="192"/>
      <c r="AA108" s="97"/>
      <c r="AB108" s="193"/>
    </row>
    <row r="109" spans="1:189">
      <c r="A109" s="116"/>
      <c r="B109" s="116"/>
      <c r="C109" s="116">
        <v>4</v>
      </c>
      <c r="D109" s="3"/>
      <c r="E109" s="184"/>
      <c r="F109" s="114"/>
      <c r="G109" s="114"/>
      <c r="H109" s="114"/>
      <c r="I109" s="114"/>
      <c r="J109" s="114"/>
      <c r="K109" s="114"/>
      <c r="L109" s="114"/>
      <c r="M109" s="185"/>
      <c r="N109" s="185"/>
      <c r="O109" s="186"/>
      <c r="P109" s="187"/>
      <c r="Q109" s="187"/>
      <c r="R109" s="188"/>
      <c r="S109" s="188"/>
      <c r="T109" s="185"/>
      <c r="U109" s="185"/>
      <c r="V109" s="189"/>
      <c r="W109" s="190"/>
      <c r="X109" s="191"/>
      <c r="Y109" s="186"/>
      <c r="Z109" s="192"/>
      <c r="AA109" s="97"/>
      <c r="AB109" s="193"/>
    </row>
    <row r="110" spans="1:189">
      <c r="A110" s="116"/>
      <c r="B110" s="116" t="s">
        <v>996</v>
      </c>
      <c r="C110" s="116">
        <v>2</v>
      </c>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189">
      <c r="A111" s="116"/>
      <c r="B111" s="116"/>
      <c r="C111" s="116">
        <v>3</v>
      </c>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189">
      <c r="A112" s="116"/>
      <c r="B112" s="116" t="s">
        <v>996</v>
      </c>
      <c r="C112" s="116">
        <v>3</v>
      </c>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v>4</v>
      </c>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v>4</v>
      </c>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v>4</v>
      </c>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v>3</v>
      </c>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t="s">
        <v>996</v>
      </c>
      <c r="C117" s="116">
        <v>2</v>
      </c>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t="s">
        <v>996</v>
      </c>
      <c r="C118" s="116">
        <v>3</v>
      </c>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v>4</v>
      </c>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t="s">
        <v>996</v>
      </c>
      <c r="C120" s="116">
        <v>4</v>
      </c>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t="s">
        <v>996</v>
      </c>
      <c r="C121" s="116">
        <v>5</v>
      </c>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v>6</v>
      </c>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v>6</v>
      </c>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v>6</v>
      </c>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v>5</v>
      </c>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v>5</v>
      </c>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v>5</v>
      </c>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t="s">
        <v>996</v>
      </c>
      <c r="C128" s="116">
        <v>3</v>
      </c>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v>4</v>
      </c>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v>4</v>
      </c>
      <c r="D130" s="3"/>
      <c r="E130" s="184"/>
      <c r="F130" s="184"/>
      <c r="G130" s="18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t="s">
        <v>996</v>
      </c>
      <c r="C131" s="116">
        <v>2</v>
      </c>
      <c r="D131" s="3"/>
      <c r="E131" s="184"/>
      <c r="F131" s="184"/>
      <c r="G131" s="18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t="s">
        <v>996</v>
      </c>
      <c r="C132" s="116">
        <v>3</v>
      </c>
      <c r="D132" s="3"/>
      <c r="E132" s="184"/>
      <c r="F132" s="184"/>
      <c r="G132" s="18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c r="C133" s="116">
        <v>4</v>
      </c>
      <c r="D133" s="3"/>
      <c r="E133" s="184"/>
      <c r="F133" s="184"/>
      <c r="G133" s="184"/>
      <c r="H133" s="184"/>
      <c r="I133" s="184"/>
      <c r="J133" s="184"/>
      <c r="K133" s="184"/>
      <c r="L133" s="184"/>
      <c r="M133" s="185"/>
      <c r="N133" s="185"/>
      <c r="O133" s="186"/>
      <c r="P133" s="187"/>
      <c r="Q133" s="187"/>
      <c r="R133" s="188"/>
      <c r="S133" s="188"/>
      <c r="T133" s="185"/>
      <c r="U133" s="185"/>
      <c r="V133" s="189"/>
      <c r="W133" s="190"/>
      <c r="X133" s="191"/>
      <c r="Y133" s="186"/>
      <c r="Z133" s="192"/>
      <c r="AA133" s="97"/>
      <c r="AB133" s="193"/>
    </row>
    <row r="134" spans="1:28">
      <c r="A134" s="116"/>
      <c r="B134" s="116" t="s">
        <v>996</v>
      </c>
      <c r="C134" s="116">
        <v>3</v>
      </c>
      <c r="D134" s="3"/>
      <c r="E134" s="184"/>
      <c r="F134" s="184"/>
      <c r="G134" s="184"/>
      <c r="H134" s="184"/>
      <c r="I134" s="184"/>
      <c r="J134" s="184"/>
      <c r="K134" s="184"/>
      <c r="L134" s="184"/>
      <c r="M134" s="185"/>
      <c r="N134" s="185"/>
      <c r="O134" s="186"/>
      <c r="P134" s="187"/>
      <c r="Q134" s="187"/>
      <c r="R134" s="188"/>
      <c r="S134" s="188"/>
      <c r="T134" s="185"/>
      <c r="U134" s="185"/>
      <c r="V134" s="189"/>
      <c r="W134" s="190"/>
      <c r="X134" s="191"/>
      <c r="Y134" s="186"/>
      <c r="Z134" s="192"/>
      <c r="AA134" s="97"/>
      <c r="AB134" s="193"/>
    </row>
    <row r="135" spans="1:28">
      <c r="A135" s="116"/>
      <c r="B135" s="116"/>
      <c r="C135" s="116">
        <v>4</v>
      </c>
      <c r="D135" s="3"/>
      <c r="E135" s="184"/>
      <c r="F135" s="184"/>
      <c r="G135" s="18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v>4</v>
      </c>
      <c r="D136" s="3"/>
      <c r="E136" s="184"/>
      <c r="F136" s="184"/>
      <c r="G136" s="18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v>4</v>
      </c>
      <c r="D137" s="3"/>
      <c r="E137" s="184"/>
      <c r="F137" s="184"/>
      <c r="G137" s="18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c r="C138" s="116">
        <v>4</v>
      </c>
      <c r="D138" s="3"/>
      <c r="E138" s="184"/>
      <c r="F138" s="184"/>
      <c r="G138" s="18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94"/>
      <c r="B139" s="194"/>
      <c r="C139" s="194"/>
      <c r="D139" s="195"/>
      <c r="E139" s="196"/>
      <c r="F139" s="196"/>
      <c r="G139" s="196"/>
      <c r="H139" s="196"/>
      <c r="I139" s="196"/>
      <c r="J139" s="196"/>
      <c r="K139" s="196"/>
      <c r="L139" s="196"/>
      <c r="M139" s="197"/>
      <c r="N139" s="197"/>
      <c r="O139" s="198"/>
      <c r="P139" s="199"/>
      <c r="Q139" s="199"/>
      <c r="R139" s="200"/>
      <c r="S139" s="200"/>
      <c r="T139" s="197"/>
      <c r="U139" s="197"/>
      <c r="V139" s="201"/>
      <c r="W139" s="202"/>
      <c r="X139" s="203"/>
      <c r="Y139" s="198"/>
      <c r="Z139" s="204"/>
      <c r="AA139" s="205"/>
      <c r="AB139" s="206"/>
    </row>
    <row r="140" spans="1:28">
      <c r="A140" s="116"/>
      <c r="B140" s="116"/>
      <c r="C140" s="116"/>
      <c r="D140" s="3"/>
      <c r="E140" s="184"/>
      <c r="F140" s="184"/>
      <c r="G140" s="18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c r="D141" s="3"/>
      <c r="E141" s="184"/>
      <c r="F141" s="184"/>
      <c r="G141" s="18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c r="D142" s="3"/>
      <c r="E142" s="184"/>
      <c r="F142" s="184"/>
      <c r="G142" s="18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c r="D143" s="3"/>
      <c r="E143" s="184"/>
      <c r="F143" s="184"/>
      <c r="G143" s="18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c r="C144" s="116"/>
      <c r="D144" s="3"/>
      <c r="E144" s="184"/>
      <c r="F144" s="184"/>
      <c r="G144" s="18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16"/>
      <c r="B145" s="116"/>
      <c r="C145" s="116"/>
      <c r="D145" s="3"/>
      <c r="E145" s="184"/>
      <c r="F145" s="184"/>
      <c r="G145" s="184"/>
      <c r="H145" s="184"/>
      <c r="I145" s="184"/>
      <c r="J145" s="184"/>
      <c r="K145" s="184"/>
      <c r="L145" s="184"/>
      <c r="M145" s="185"/>
      <c r="N145" s="185"/>
      <c r="O145" s="186"/>
      <c r="P145" s="187"/>
      <c r="Q145" s="187"/>
      <c r="R145" s="188"/>
      <c r="S145" s="188"/>
      <c r="T145" s="185"/>
      <c r="U145" s="185"/>
      <c r="V145" s="189"/>
      <c r="W145" s="190"/>
      <c r="X145" s="191"/>
      <c r="Y145" s="186"/>
      <c r="Z145" s="192"/>
      <c r="AA145" s="97"/>
      <c r="AB145" s="193"/>
    </row>
    <row r="146" spans="1:28">
      <c r="A146" s="116"/>
      <c r="B146" s="116"/>
      <c r="C146" s="116"/>
      <c r="D146" s="3"/>
      <c r="E146" s="184"/>
      <c r="F146" s="184"/>
      <c r="G146" s="184"/>
      <c r="H146" s="184"/>
      <c r="I146" s="184"/>
      <c r="J146" s="184"/>
      <c r="K146" s="184"/>
      <c r="L146" s="184"/>
      <c r="M146" s="185"/>
      <c r="N146" s="185"/>
      <c r="O146" s="186"/>
      <c r="P146" s="187"/>
      <c r="Q146" s="187"/>
      <c r="R146" s="188"/>
      <c r="S146" s="188"/>
      <c r="T146" s="185"/>
      <c r="U146" s="185"/>
      <c r="V146" s="189"/>
      <c r="W146" s="190"/>
      <c r="X146" s="191"/>
      <c r="Y146" s="186"/>
      <c r="Z146" s="192"/>
      <c r="AA146" s="97"/>
      <c r="AB146" s="193"/>
    </row>
    <row r="147" spans="1:28">
      <c r="A147" s="116"/>
      <c r="B147" s="116"/>
      <c r="C147" s="116"/>
      <c r="D147" s="3"/>
      <c r="E147" s="184"/>
      <c r="F147" s="184"/>
      <c r="G147" s="184"/>
      <c r="H147" s="184"/>
      <c r="I147" s="184"/>
      <c r="J147" s="184"/>
      <c r="K147" s="184"/>
      <c r="L147" s="184"/>
      <c r="M147" s="185"/>
      <c r="N147" s="185"/>
      <c r="O147" s="186"/>
      <c r="P147" s="187"/>
      <c r="Q147" s="187"/>
      <c r="R147" s="188"/>
      <c r="S147" s="188"/>
      <c r="T147" s="185"/>
      <c r="U147" s="185"/>
      <c r="V147" s="189"/>
      <c r="W147" s="190"/>
      <c r="X147" s="191"/>
      <c r="Y147" s="186"/>
      <c r="Z147" s="192"/>
      <c r="AA147" s="97"/>
      <c r="AB147" s="193"/>
    </row>
    <row r="148" spans="1:28">
      <c r="A148" s="116"/>
      <c r="B148" s="116"/>
      <c r="C148" s="116"/>
      <c r="D148" s="3"/>
      <c r="E148" s="184"/>
      <c r="F148" s="184"/>
      <c r="G148" s="184"/>
      <c r="H148" s="184"/>
      <c r="I148" s="184"/>
      <c r="J148" s="184"/>
      <c r="K148" s="184"/>
      <c r="L148" s="184"/>
      <c r="M148" s="185"/>
      <c r="N148" s="185"/>
      <c r="O148" s="186"/>
      <c r="P148" s="187"/>
      <c r="Q148" s="187"/>
      <c r="R148" s="188"/>
      <c r="S148" s="188"/>
      <c r="T148" s="185"/>
      <c r="U148" s="185"/>
      <c r="V148" s="189"/>
      <c r="W148" s="190"/>
      <c r="X148" s="191"/>
      <c r="Y148" s="186"/>
      <c r="Z148" s="192"/>
      <c r="AA148" s="97"/>
      <c r="AB148" s="193"/>
    </row>
    <row r="149" spans="1:28">
      <c r="A149" s="116"/>
      <c r="B149" s="116"/>
      <c r="C149" s="116"/>
      <c r="D149" s="3"/>
      <c r="E149" s="184"/>
      <c r="F149" s="184"/>
      <c r="G149" s="184"/>
      <c r="H149" s="184"/>
      <c r="I149" s="184"/>
      <c r="J149" s="184"/>
      <c r="K149" s="184"/>
      <c r="L149" s="184"/>
      <c r="M149" s="185"/>
      <c r="N149" s="185"/>
      <c r="O149" s="186"/>
      <c r="P149" s="187"/>
      <c r="Q149" s="187"/>
      <c r="R149" s="188"/>
      <c r="S149" s="188"/>
      <c r="T149" s="185"/>
      <c r="U149" s="185"/>
      <c r="V149" s="189"/>
      <c r="W149" s="190"/>
      <c r="X149" s="191"/>
      <c r="Y149" s="186"/>
      <c r="Z149" s="192"/>
      <c r="AA149" s="97"/>
      <c r="AB149" s="193"/>
    </row>
    <row r="150" spans="1:28">
      <c r="A150" s="116"/>
      <c r="B150" s="116"/>
      <c r="C150" s="116"/>
      <c r="D150" s="3"/>
      <c r="E150" s="184"/>
      <c r="F150" s="184"/>
      <c r="G150" s="184"/>
      <c r="H150" s="184"/>
      <c r="I150" s="184"/>
      <c r="J150" s="184"/>
      <c r="K150" s="184"/>
      <c r="L150" s="184"/>
      <c r="M150" s="185"/>
      <c r="N150" s="185"/>
      <c r="O150" s="186"/>
      <c r="P150" s="187"/>
      <c r="Q150" s="187"/>
      <c r="R150" s="188"/>
      <c r="S150" s="188"/>
      <c r="T150" s="185"/>
      <c r="U150" s="185"/>
      <c r="V150" s="189"/>
      <c r="W150" s="190"/>
      <c r="X150" s="191"/>
      <c r="Y150" s="186"/>
      <c r="Z150" s="192"/>
      <c r="AA150" s="97"/>
      <c r="AB150" s="193"/>
    </row>
    <row r="151" spans="1:28">
      <c r="A151" s="116"/>
      <c r="B151" s="116"/>
      <c r="C151" s="116"/>
      <c r="D151" s="3"/>
      <c r="E151" s="184"/>
      <c r="F151" s="184"/>
      <c r="G151" s="184"/>
      <c r="H151" s="184"/>
      <c r="I151" s="184"/>
      <c r="J151" s="184"/>
      <c r="K151" s="184"/>
      <c r="L151" s="184"/>
      <c r="M151" s="185"/>
      <c r="N151" s="185"/>
      <c r="O151" s="186"/>
      <c r="P151" s="187"/>
      <c r="Q151" s="187"/>
      <c r="R151" s="188"/>
      <c r="S151" s="188"/>
      <c r="T151" s="185"/>
      <c r="U151" s="185"/>
      <c r="V151" s="189"/>
      <c r="W151" s="190"/>
      <c r="X151" s="191"/>
      <c r="Y151" s="186"/>
      <c r="Z151" s="192"/>
      <c r="AA151" s="97"/>
      <c r="AB151" s="193"/>
    </row>
    <row r="152" spans="1:28">
      <c r="A152" s="116"/>
      <c r="B152" s="116"/>
      <c r="C152" s="116"/>
      <c r="D152" s="3"/>
      <c r="E152" s="184"/>
      <c r="F152" s="184"/>
      <c r="G152" s="184"/>
      <c r="H152" s="184"/>
      <c r="I152" s="184"/>
      <c r="J152" s="184"/>
      <c r="K152" s="184"/>
      <c r="L152" s="184"/>
      <c r="M152" s="185"/>
      <c r="N152" s="185"/>
      <c r="O152" s="186"/>
      <c r="P152" s="187"/>
      <c r="Q152" s="187"/>
      <c r="R152" s="188"/>
      <c r="S152" s="188"/>
      <c r="T152" s="185"/>
      <c r="U152" s="185"/>
      <c r="V152" s="189"/>
      <c r="W152" s="190"/>
      <c r="X152" s="191"/>
      <c r="Y152" s="186"/>
      <c r="Z152" s="192"/>
      <c r="AA152" s="97"/>
      <c r="AB152" s="193"/>
    </row>
    <row r="153" spans="1:28">
      <c r="A153" s="116"/>
      <c r="B153" s="116"/>
      <c r="C153" s="116"/>
      <c r="D153" s="3"/>
      <c r="E153" s="184"/>
      <c r="F153" s="184"/>
      <c r="G153" s="184"/>
      <c r="H153" s="184"/>
      <c r="I153" s="184"/>
      <c r="J153" s="184"/>
      <c r="K153" s="184"/>
      <c r="L153" s="184"/>
      <c r="M153" s="185"/>
      <c r="N153" s="185"/>
      <c r="O153" s="186"/>
      <c r="P153" s="187"/>
      <c r="Q153" s="187"/>
      <c r="R153" s="188"/>
      <c r="S153" s="188"/>
      <c r="T153" s="185"/>
      <c r="U153" s="185"/>
      <c r="V153" s="189"/>
      <c r="W153" s="190"/>
      <c r="X153" s="191"/>
      <c r="Y153" s="186"/>
      <c r="Z153" s="192"/>
      <c r="AA153" s="97"/>
      <c r="AB153" s="193"/>
    </row>
    <row r="154" spans="1:28">
      <c r="A154" s="116"/>
      <c r="B154" s="116"/>
      <c r="C154" s="116"/>
      <c r="D154" s="3"/>
      <c r="E154" s="184"/>
      <c r="F154" s="184"/>
      <c r="G154" s="184"/>
      <c r="H154" s="184"/>
      <c r="I154" s="184"/>
      <c r="J154" s="184"/>
      <c r="K154" s="184"/>
      <c r="L154" s="184"/>
      <c r="M154" s="185"/>
      <c r="N154" s="185"/>
      <c r="O154" s="186"/>
      <c r="P154" s="187"/>
      <c r="Q154" s="187"/>
      <c r="R154" s="188"/>
      <c r="S154" s="188"/>
      <c r="T154" s="185"/>
      <c r="U154" s="185"/>
      <c r="V154" s="189"/>
      <c r="W154" s="190"/>
      <c r="X154" s="191"/>
      <c r="Y154" s="186"/>
      <c r="Z154" s="192"/>
      <c r="AA154" s="97"/>
      <c r="AB154" s="193"/>
    </row>
    <row r="155" spans="1:28">
      <c r="A155" s="116"/>
      <c r="B155" s="116"/>
      <c r="C155" s="116"/>
      <c r="D155" s="3"/>
      <c r="E155" s="184"/>
      <c r="F155" s="184"/>
      <c r="G155" s="184"/>
      <c r="H155" s="184"/>
      <c r="I155" s="184"/>
      <c r="J155" s="184"/>
      <c r="K155" s="184"/>
      <c r="L155" s="184"/>
      <c r="M155" s="185"/>
      <c r="N155" s="185"/>
      <c r="O155" s="186"/>
      <c r="P155" s="187"/>
      <c r="Q155" s="187"/>
      <c r="R155" s="188"/>
      <c r="S155" s="188"/>
      <c r="T155" s="185"/>
      <c r="U155" s="185"/>
      <c r="V155" s="189"/>
      <c r="W155" s="190"/>
      <c r="X155" s="191"/>
      <c r="Y155" s="186"/>
      <c r="Z155" s="192"/>
      <c r="AA155" s="97"/>
      <c r="AB155" s="193"/>
    </row>
    <row r="156" spans="1:28">
      <c r="A156" s="116"/>
      <c r="B156" s="116"/>
      <c r="C156" s="116"/>
      <c r="D156" s="3"/>
      <c r="E156" s="184"/>
      <c r="F156" s="184"/>
      <c r="G156" s="184"/>
      <c r="H156" s="184"/>
      <c r="I156" s="184"/>
      <c r="J156" s="184"/>
      <c r="K156" s="184"/>
      <c r="L156" s="184"/>
      <c r="M156" s="185"/>
      <c r="N156" s="185"/>
      <c r="O156" s="186"/>
      <c r="P156" s="187"/>
      <c r="Q156" s="187"/>
      <c r="R156" s="188"/>
      <c r="S156" s="188"/>
      <c r="T156" s="185"/>
      <c r="U156" s="185"/>
      <c r="V156" s="189"/>
      <c r="W156" s="190"/>
      <c r="X156" s="191"/>
      <c r="Y156" s="186"/>
      <c r="Z156" s="192"/>
      <c r="AA156" s="97"/>
      <c r="AB156" s="193"/>
    </row>
    <row r="157" spans="1:28">
      <c r="A157" s="116"/>
      <c r="B157" s="116"/>
      <c r="C157" s="116"/>
      <c r="D157" s="3"/>
      <c r="E157" s="184"/>
      <c r="F157" s="184"/>
      <c r="G157" s="184"/>
      <c r="H157" s="184"/>
      <c r="I157" s="184"/>
      <c r="J157" s="184"/>
      <c r="K157" s="184"/>
      <c r="L157" s="184"/>
      <c r="M157" s="185"/>
      <c r="N157" s="185"/>
      <c r="O157" s="186"/>
      <c r="P157" s="187"/>
      <c r="Q157" s="187"/>
      <c r="R157" s="188"/>
      <c r="S157" s="188"/>
      <c r="T157" s="185"/>
      <c r="U157" s="185"/>
      <c r="V157" s="189"/>
      <c r="W157" s="190"/>
      <c r="X157" s="191"/>
      <c r="Y157" s="186"/>
      <c r="Z157" s="192"/>
      <c r="AA157" s="97"/>
      <c r="AB157" s="193"/>
    </row>
    <row r="158" spans="1:28">
      <c r="A158" s="116"/>
      <c r="B158" s="116"/>
      <c r="C158" s="116"/>
      <c r="D158" s="3"/>
      <c r="E158" s="184"/>
      <c r="F158" s="184"/>
      <c r="G158" s="184"/>
      <c r="H158" s="184"/>
      <c r="I158" s="184"/>
      <c r="J158" s="184"/>
      <c r="K158" s="184"/>
      <c r="L158" s="184"/>
      <c r="M158" s="185"/>
      <c r="N158" s="185"/>
      <c r="O158" s="186"/>
      <c r="P158" s="187"/>
      <c r="Q158" s="187"/>
      <c r="R158" s="188"/>
      <c r="S158" s="188"/>
      <c r="T158" s="185"/>
      <c r="U158" s="185"/>
      <c r="V158" s="189"/>
      <c r="W158" s="190"/>
      <c r="X158" s="191"/>
      <c r="Y158" s="186"/>
      <c r="Z158" s="192"/>
      <c r="AA158" s="97"/>
      <c r="AB158" s="193"/>
    </row>
    <row r="159" spans="1:28">
      <c r="A159" s="116"/>
      <c r="B159" s="116"/>
      <c r="C159" s="116"/>
      <c r="D159" s="3"/>
      <c r="E159" s="184"/>
      <c r="F159" s="184"/>
      <c r="G159" s="184"/>
      <c r="H159" s="184"/>
      <c r="I159" s="184"/>
      <c r="J159" s="184"/>
      <c r="K159" s="184"/>
      <c r="L159" s="184"/>
      <c r="M159" s="185"/>
      <c r="N159" s="185"/>
      <c r="O159" s="186"/>
      <c r="P159" s="187"/>
      <c r="Q159" s="187"/>
      <c r="R159" s="188"/>
      <c r="S159" s="188"/>
      <c r="T159" s="185"/>
      <c r="U159" s="185"/>
      <c r="V159" s="189"/>
      <c r="W159" s="190"/>
      <c r="X159" s="191"/>
      <c r="Y159" s="186"/>
      <c r="Z159" s="192"/>
      <c r="AA159" s="97"/>
      <c r="AB159" s="193"/>
    </row>
    <row r="160" spans="1:28">
      <c r="A160" s="116"/>
      <c r="B160" s="116"/>
      <c r="C160" s="116"/>
      <c r="D160" s="3"/>
      <c r="E160" s="184"/>
      <c r="F160" s="184"/>
      <c r="G160" s="184"/>
      <c r="H160" s="184"/>
      <c r="I160" s="184"/>
      <c r="J160" s="184"/>
      <c r="K160" s="184"/>
      <c r="L160" s="184"/>
      <c r="M160" s="185"/>
      <c r="N160" s="185"/>
      <c r="O160" s="186"/>
      <c r="P160" s="187"/>
      <c r="Q160" s="187"/>
      <c r="R160" s="188"/>
      <c r="S160" s="188"/>
      <c r="T160" s="185"/>
      <c r="U160" s="185"/>
      <c r="V160" s="189"/>
      <c r="W160" s="190"/>
      <c r="X160" s="191"/>
      <c r="Y160" s="186"/>
      <c r="Z160" s="192"/>
      <c r="AA160" s="97"/>
      <c r="AB160" s="193"/>
    </row>
    <row r="161" spans="1:28">
      <c r="A161" s="116"/>
      <c r="B161" s="116"/>
      <c r="C161" s="116"/>
      <c r="D161" s="3"/>
      <c r="E161" s="184"/>
      <c r="F161" s="184"/>
      <c r="G161" s="184"/>
      <c r="H161" s="184"/>
      <c r="I161" s="184"/>
      <c r="J161" s="184"/>
      <c r="K161" s="184"/>
      <c r="L161" s="184"/>
      <c r="M161" s="185"/>
      <c r="N161" s="185"/>
      <c r="O161" s="186"/>
      <c r="P161" s="187"/>
      <c r="Q161" s="187"/>
      <c r="R161" s="188"/>
      <c r="S161" s="188"/>
      <c r="T161" s="185"/>
      <c r="U161" s="185"/>
      <c r="V161" s="189"/>
      <c r="W161" s="190"/>
      <c r="X161" s="191"/>
      <c r="Y161" s="186"/>
      <c r="Z161" s="192"/>
      <c r="AA161" s="97"/>
      <c r="AB161" s="193"/>
    </row>
    <row r="162" spans="1:28">
      <c r="A162" s="116"/>
      <c r="B162" s="116"/>
      <c r="C162" s="116"/>
      <c r="D162" s="3"/>
      <c r="E162" s="184"/>
      <c r="F162" s="184"/>
      <c r="G162" s="184"/>
      <c r="H162" s="184"/>
      <c r="I162" s="184"/>
      <c r="J162" s="184"/>
      <c r="K162" s="184"/>
      <c r="L162" s="184"/>
      <c r="M162" s="185"/>
      <c r="N162" s="185"/>
      <c r="O162" s="186"/>
      <c r="P162" s="187"/>
      <c r="Q162" s="187"/>
      <c r="R162" s="188"/>
      <c r="S162" s="188"/>
      <c r="T162" s="185"/>
      <c r="U162" s="185"/>
      <c r="V162" s="189"/>
      <c r="W162" s="190"/>
      <c r="X162" s="191"/>
      <c r="Y162" s="186"/>
      <c r="Z162" s="192"/>
      <c r="AA162" s="97"/>
      <c r="AB162" s="193"/>
    </row>
    <row r="163" spans="1:28">
      <c r="A163" s="116"/>
      <c r="B163" s="116"/>
      <c r="C163" s="116"/>
      <c r="D163" s="3"/>
      <c r="E163" s="184"/>
      <c r="F163" s="184"/>
      <c r="G163" s="184"/>
      <c r="H163" s="184"/>
      <c r="I163" s="184"/>
      <c r="J163" s="184"/>
      <c r="K163" s="184"/>
      <c r="L163" s="184"/>
      <c r="M163" s="185"/>
      <c r="N163" s="185"/>
      <c r="O163" s="186"/>
      <c r="P163" s="187"/>
      <c r="Q163" s="187"/>
      <c r="R163" s="188"/>
      <c r="S163" s="188"/>
      <c r="T163" s="185"/>
      <c r="U163" s="185"/>
      <c r="V163" s="189"/>
      <c r="W163" s="190"/>
      <c r="X163" s="191"/>
      <c r="Y163" s="186"/>
      <c r="Z163" s="192"/>
      <c r="AA163" s="97"/>
      <c r="AB163" s="193"/>
    </row>
    <row r="164" spans="1:28">
      <c r="A164" s="116"/>
      <c r="B164" s="116"/>
      <c r="C164" s="116"/>
      <c r="D164" s="3"/>
      <c r="E164" s="184"/>
      <c r="F164" s="184"/>
      <c r="G164" s="184"/>
      <c r="H164" s="184"/>
      <c r="I164" s="184"/>
      <c r="J164" s="184"/>
      <c r="K164" s="184"/>
      <c r="L164" s="184"/>
      <c r="M164" s="185"/>
      <c r="N164" s="185"/>
      <c r="O164" s="186"/>
      <c r="P164" s="187"/>
      <c r="Q164" s="187"/>
      <c r="R164" s="188"/>
      <c r="S164" s="188"/>
      <c r="T164" s="185"/>
      <c r="U164" s="185"/>
      <c r="V164" s="189"/>
      <c r="W164" s="190"/>
      <c r="X164" s="191"/>
      <c r="Y164" s="186"/>
      <c r="Z164" s="192"/>
      <c r="AA164" s="97"/>
      <c r="AB164" s="193"/>
    </row>
    <row r="165" spans="1:28">
      <c r="A165" s="116"/>
      <c r="B165" s="116"/>
      <c r="C165" s="116"/>
      <c r="D165" s="3"/>
      <c r="E165" s="184"/>
      <c r="F165" s="184"/>
      <c r="G165" s="184"/>
      <c r="H165" s="184"/>
      <c r="I165" s="184"/>
      <c r="J165" s="184"/>
      <c r="K165" s="184"/>
      <c r="L165" s="184"/>
      <c r="M165" s="185"/>
      <c r="N165" s="185"/>
      <c r="O165" s="186"/>
      <c r="P165" s="187"/>
      <c r="Q165" s="187"/>
      <c r="R165" s="188"/>
      <c r="S165" s="188"/>
      <c r="T165" s="185"/>
      <c r="U165" s="185"/>
      <c r="V165" s="189"/>
      <c r="W165" s="190"/>
      <c r="X165" s="191"/>
      <c r="Y165" s="186"/>
      <c r="Z165" s="192"/>
      <c r="AA165" s="97"/>
      <c r="AB165" s="193"/>
    </row>
    <row r="166" spans="1:28">
      <c r="A166" s="116"/>
      <c r="B166" s="116"/>
      <c r="C166" s="116"/>
      <c r="D166" s="3"/>
      <c r="E166" s="184"/>
      <c r="F166" s="184"/>
      <c r="G166" s="184"/>
      <c r="H166" s="184"/>
      <c r="I166" s="184"/>
      <c r="J166" s="184"/>
      <c r="K166" s="184"/>
      <c r="L166" s="184"/>
      <c r="M166" s="185"/>
      <c r="N166" s="185"/>
      <c r="O166" s="186"/>
      <c r="P166" s="187"/>
      <c r="Q166" s="187"/>
      <c r="R166" s="188"/>
      <c r="S166" s="188"/>
      <c r="T166" s="185"/>
      <c r="U166" s="185"/>
      <c r="V166" s="189"/>
      <c r="W166" s="190"/>
      <c r="X166" s="191"/>
      <c r="Y166" s="186"/>
      <c r="Z166" s="192"/>
      <c r="AA166" s="97"/>
      <c r="AB166" s="193"/>
    </row>
    <row r="167" spans="1:28">
      <c r="A167" s="116"/>
      <c r="B167" s="116"/>
      <c r="C167" s="116"/>
      <c r="D167" s="3"/>
      <c r="E167" s="184"/>
      <c r="F167" s="184"/>
      <c r="G167" s="184"/>
      <c r="H167" s="184"/>
      <c r="I167" s="184"/>
      <c r="J167" s="184"/>
      <c r="K167" s="184"/>
      <c r="L167" s="184"/>
      <c r="M167" s="185"/>
      <c r="N167" s="185"/>
      <c r="O167" s="186"/>
      <c r="P167" s="187"/>
      <c r="Q167" s="187"/>
      <c r="R167" s="188"/>
      <c r="S167" s="188"/>
      <c r="T167" s="185"/>
      <c r="U167" s="185"/>
      <c r="V167" s="189"/>
      <c r="W167" s="190"/>
      <c r="X167" s="191"/>
      <c r="Y167" s="186"/>
      <c r="Z167" s="192"/>
      <c r="AA167" s="97"/>
      <c r="AB167" s="193"/>
    </row>
    <row r="168" spans="1:28">
      <c r="A168" s="116"/>
      <c r="B168" s="116"/>
      <c r="C168" s="116"/>
      <c r="D168" s="3"/>
      <c r="E168" s="184"/>
      <c r="F168" s="184"/>
      <c r="G168" s="184"/>
      <c r="H168" s="184"/>
      <c r="I168" s="184"/>
      <c r="J168" s="184"/>
      <c r="K168" s="184"/>
      <c r="L168" s="184"/>
      <c r="M168" s="185"/>
      <c r="N168" s="185"/>
      <c r="O168" s="186"/>
      <c r="P168" s="187"/>
      <c r="Q168" s="187"/>
      <c r="R168" s="188"/>
      <c r="S168" s="188"/>
      <c r="T168" s="185"/>
      <c r="U168" s="185"/>
      <c r="V168" s="189"/>
      <c r="W168" s="190"/>
      <c r="X168" s="191"/>
      <c r="Y168" s="186"/>
      <c r="Z168" s="192"/>
      <c r="AA168" s="97"/>
      <c r="AB168" s="193"/>
    </row>
    <row r="169" spans="1:28">
      <c r="A169" s="116"/>
      <c r="B169" s="116"/>
      <c r="C169" s="116"/>
      <c r="D169" s="3"/>
      <c r="E169" s="184"/>
      <c r="F169" s="184"/>
      <c r="G169" s="184"/>
      <c r="H169" s="184"/>
      <c r="I169" s="184"/>
      <c r="J169" s="184"/>
      <c r="K169" s="184"/>
      <c r="L169" s="184"/>
      <c r="M169" s="185"/>
      <c r="N169" s="185"/>
      <c r="O169" s="186"/>
      <c r="P169" s="187"/>
      <c r="Q169" s="187"/>
      <c r="R169" s="188"/>
      <c r="S169" s="188"/>
      <c r="T169" s="185"/>
      <c r="U169" s="185"/>
      <c r="V169" s="189"/>
      <c r="W169" s="190"/>
      <c r="X169" s="191"/>
      <c r="Y169" s="186"/>
      <c r="Z169" s="192"/>
      <c r="AA169" s="97"/>
      <c r="AB169" s="193"/>
    </row>
    <row r="170" spans="1:28">
      <c r="A170" s="116"/>
      <c r="B170" s="116"/>
      <c r="C170" s="116"/>
      <c r="D170" s="3"/>
      <c r="E170" s="184"/>
      <c r="F170" s="184"/>
      <c r="G170" s="184"/>
      <c r="H170" s="184"/>
      <c r="I170" s="184"/>
      <c r="J170" s="184"/>
      <c r="K170" s="184"/>
      <c r="L170" s="184"/>
      <c r="M170" s="185"/>
      <c r="N170" s="185"/>
      <c r="O170" s="186"/>
      <c r="P170" s="187"/>
      <c r="Q170" s="187"/>
      <c r="R170" s="188"/>
      <c r="S170" s="188"/>
      <c r="T170" s="185"/>
      <c r="U170" s="185"/>
      <c r="V170" s="189"/>
      <c r="W170" s="190"/>
      <c r="X170" s="191"/>
      <c r="Y170" s="186"/>
      <c r="Z170" s="192"/>
      <c r="AA170" s="97"/>
      <c r="AB170" s="193"/>
    </row>
    <row r="171" spans="1:28">
      <c r="A171" s="116"/>
      <c r="B171" s="116"/>
      <c r="C171" s="116"/>
      <c r="D171" s="207"/>
      <c r="E171" s="184"/>
      <c r="F171" s="184"/>
      <c r="G171" s="184"/>
      <c r="H171" s="184"/>
      <c r="I171" s="184"/>
      <c r="J171" s="184"/>
      <c r="K171" s="184"/>
      <c r="L171" s="184"/>
      <c r="M171" s="185"/>
      <c r="N171" s="185"/>
      <c r="O171" s="186"/>
      <c r="P171" s="187"/>
      <c r="Q171" s="187"/>
      <c r="R171" s="188"/>
      <c r="S171" s="188"/>
      <c r="T171" s="185"/>
      <c r="U171" s="185"/>
      <c r="V171" s="189"/>
      <c r="W171" s="190"/>
      <c r="X171" s="191"/>
      <c r="Y171" s="186"/>
      <c r="Z171" s="192"/>
      <c r="AA171" s="97"/>
      <c r="AB171" s="193"/>
    </row>
    <row r="172" spans="1:28">
      <c r="A172" s="116"/>
      <c r="B172" s="116"/>
      <c r="C172" s="116"/>
      <c r="D172" s="3"/>
      <c r="E172" s="184"/>
      <c r="F172" s="184"/>
      <c r="G172" s="184"/>
      <c r="H172" s="184"/>
      <c r="I172" s="184"/>
      <c r="J172" s="184"/>
      <c r="K172" s="184"/>
      <c r="L172" s="184"/>
      <c r="M172" s="185"/>
      <c r="N172" s="185"/>
      <c r="O172" s="186"/>
      <c r="P172" s="187"/>
      <c r="Q172" s="187"/>
      <c r="R172" s="188"/>
      <c r="S172" s="188"/>
      <c r="T172" s="185"/>
      <c r="U172" s="185"/>
      <c r="V172" s="189"/>
      <c r="W172" s="190"/>
      <c r="X172" s="191"/>
      <c r="Y172" s="186"/>
      <c r="Z172" s="192"/>
      <c r="AA172" s="97"/>
      <c r="AB172" s="193"/>
    </row>
    <row r="173" spans="1:28">
      <c r="A173" s="116"/>
      <c r="B173" s="116"/>
      <c r="C173" s="116"/>
      <c r="D173" s="3"/>
      <c r="E173" s="184"/>
      <c r="F173" s="184"/>
      <c r="G173" s="184"/>
      <c r="H173" s="184"/>
      <c r="I173" s="184"/>
      <c r="J173" s="184"/>
      <c r="K173" s="184"/>
      <c r="L173" s="184"/>
      <c r="M173" s="185"/>
      <c r="N173" s="185"/>
      <c r="O173" s="186"/>
      <c r="P173" s="187"/>
      <c r="Q173" s="187"/>
      <c r="R173" s="188"/>
      <c r="S173" s="188"/>
      <c r="T173" s="185"/>
      <c r="U173" s="185"/>
      <c r="V173" s="189"/>
      <c r="W173" s="190"/>
      <c r="X173" s="191"/>
      <c r="Y173" s="186"/>
      <c r="Z173" s="192"/>
      <c r="AA173" s="97"/>
      <c r="AB173" s="193"/>
    </row>
    <row r="174" spans="1:28">
      <c r="A174" s="116"/>
      <c r="B174" s="116"/>
      <c r="C174" s="116"/>
      <c r="D174" s="3"/>
      <c r="E174" s="184"/>
      <c r="F174" s="184"/>
      <c r="G174" s="184"/>
      <c r="H174" s="184"/>
      <c r="I174" s="184"/>
      <c r="J174" s="184"/>
      <c r="K174" s="184"/>
      <c r="L174" s="184"/>
      <c r="M174" s="185"/>
      <c r="N174" s="185"/>
      <c r="O174" s="186"/>
      <c r="P174" s="187"/>
      <c r="Q174" s="187"/>
      <c r="R174" s="188"/>
      <c r="S174" s="188"/>
      <c r="T174" s="185"/>
      <c r="U174" s="185"/>
      <c r="V174" s="189"/>
      <c r="W174" s="190"/>
      <c r="X174" s="191"/>
      <c r="Y174" s="186"/>
      <c r="Z174" s="192"/>
      <c r="AA174" s="97"/>
      <c r="AB174" s="193"/>
    </row>
    <row r="175" spans="1:28">
      <c r="A175" s="116"/>
      <c r="B175" s="116"/>
      <c r="C175" s="116"/>
      <c r="D175" s="3"/>
      <c r="E175" s="184"/>
      <c r="F175" s="184"/>
      <c r="G175" s="184"/>
      <c r="H175" s="184"/>
      <c r="I175" s="184"/>
      <c r="J175" s="184"/>
      <c r="K175" s="184"/>
      <c r="L175" s="184"/>
      <c r="M175" s="185"/>
      <c r="N175" s="185"/>
      <c r="O175" s="186"/>
      <c r="P175" s="187"/>
      <c r="Q175" s="187"/>
      <c r="R175" s="188"/>
      <c r="S175" s="188"/>
      <c r="T175" s="185"/>
      <c r="U175" s="185"/>
      <c r="V175" s="189"/>
      <c r="W175" s="190"/>
      <c r="X175" s="191"/>
      <c r="Y175" s="186"/>
      <c r="Z175" s="192"/>
      <c r="AA175" s="97"/>
      <c r="AB175" s="193"/>
    </row>
    <row r="176" spans="1:28">
      <c r="A176" s="116"/>
      <c r="B176" s="116"/>
      <c r="C176" s="116"/>
      <c r="D176" s="3"/>
      <c r="E176" s="184"/>
      <c r="F176" s="184"/>
      <c r="G176" s="184"/>
      <c r="H176" s="184"/>
      <c r="I176" s="184"/>
      <c r="J176" s="184"/>
      <c r="K176" s="184"/>
      <c r="L176" s="184"/>
      <c r="M176" s="185"/>
      <c r="N176" s="185"/>
      <c r="O176" s="186"/>
      <c r="P176" s="187"/>
      <c r="Q176" s="187"/>
      <c r="R176" s="188"/>
      <c r="S176" s="188"/>
      <c r="T176" s="185"/>
      <c r="U176" s="185"/>
      <c r="V176" s="189"/>
      <c r="W176" s="190"/>
      <c r="X176" s="191"/>
      <c r="Y176" s="186"/>
      <c r="Z176" s="192"/>
      <c r="AA176" s="97"/>
      <c r="AB176" s="193"/>
    </row>
    <row r="177" spans="1:28">
      <c r="A177" s="116"/>
      <c r="B177" s="116"/>
      <c r="C177" s="116"/>
      <c r="D177" s="3"/>
      <c r="E177" s="184"/>
      <c r="F177" s="184"/>
      <c r="G177" s="184"/>
      <c r="H177" s="184"/>
      <c r="I177" s="184"/>
      <c r="J177" s="184"/>
      <c r="K177" s="184"/>
      <c r="L177" s="184"/>
      <c r="M177" s="185"/>
      <c r="N177" s="185"/>
      <c r="O177" s="186"/>
      <c r="P177" s="187"/>
      <c r="Q177" s="187"/>
      <c r="R177" s="188"/>
      <c r="S177" s="188"/>
      <c r="T177" s="185"/>
      <c r="U177" s="185"/>
      <c r="V177" s="189"/>
      <c r="W177" s="190"/>
      <c r="X177" s="191"/>
      <c r="Y177" s="186"/>
      <c r="Z177" s="192"/>
      <c r="AA177" s="97"/>
      <c r="AB177" s="193"/>
    </row>
    <row r="178" spans="1:28">
      <c r="A178" s="116"/>
      <c r="B178" s="116"/>
      <c r="C178" s="116"/>
      <c r="D178" s="3"/>
      <c r="E178" s="184"/>
      <c r="F178" s="184"/>
      <c r="G178" s="184"/>
      <c r="H178" s="184"/>
      <c r="I178" s="184"/>
      <c r="J178" s="184"/>
      <c r="K178" s="184"/>
      <c r="L178" s="184"/>
      <c r="M178" s="185"/>
      <c r="N178" s="185"/>
      <c r="O178" s="186"/>
      <c r="P178" s="187"/>
      <c r="Q178" s="187"/>
      <c r="R178" s="188"/>
      <c r="S178" s="188"/>
      <c r="T178" s="185"/>
      <c r="U178" s="185"/>
      <c r="V178" s="189"/>
      <c r="W178" s="190"/>
      <c r="X178" s="191"/>
      <c r="Y178" s="186"/>
      <c r="Z178" s="192"/>
      <c r="AA178" s="97"/>
      <c r="AB178" s="193"/>
    </row>
    <row r="179" spans="1:28">
      <c r="A179" s="116"/>
      <c r="B179" s="116"/>
      <c r="C179" s="116"/>
      <c r="D179" s="3"/>
      <c r="E179" s="184"/>
      <c r="F179" s="184"/>
      <c r="G179" s="184"/>
      <c r="H179" s="184"/>
      <c r="I179" s="184"/>
      <c r="J179" s="184"/>
      <c r="K179" s="184"/>
      <c r="L179" s="184"/>
      <c r="M179" s="185"/>
      <c r="N179" s="185"/>
      <c r="O179" s="186"/>
      <c r="P179" s="187"/>
      <c r="Q179" s="187"/>
      <c r="R179" s="188"/>
      <c r="S179" s="188"/>
      <c r="T179" s="185"/>
      <c r="U179" s="185"/>
      <c r="V179" s="189"/>
      <c r="W179" s="190"/>
      <c r="X179" s="191"/>
      <c r="Y179" s="186"/>
      <c r="Z179" s="192"/>
      <c r="AA179" s="97"/>
      <c r="AB179" s="193"/>
    </row>
    <row r="180" spans="1:28">
      <c r="A180" s="116"/>
      <c r="B180" s="116"/>
      <c r="C180" s="116"/>
      <c r="D180" s="3"/>
      <c r="E180" s="184"/>
      <c r="F180" s="184"/>
      <c r="G180" s="184"/>
      <c r="H180" s="184"/>
      <c r="I180" s="184"/>
      <c r="J180" s="184"/>
      <c r="K180" s="184"/>
      <c r="L180" s="184"/>
      <c r="M180" s="185"/>
      <c r="N180" s="185"/>
      <c r="O180" s="186"/>
      <c r="P180" s="187"/>
      <c r="Q180" s="187"/>
      <c r="R180" s="188"/>
      <c r="S180" s="188"/>
      <c r="T180" s="185"/>
      <c r="U180" s="185"/>
      <c r="V180" s="189"/>
      <c r="W180" s="190"/>
      <c r="X180" s="191"/>
      <c r="Y180" s="186"/>
      <c r="Z180" s="192"/>
      <c r="AA180" s="97"/>
      <c r="AB180" s="193"/>
    </row>
    <row r="181" spans="1:28">
      <c r="A181" s="116"/>
      <c r="B181" s="116"/>
      <c r="C181" s="116"/>
      <c r="D181" s="3"/>
      <c r="E181" s="184"/>
      <c r="F181" s="184"/>
      <c r="G181" s="184"/>
      <c r="H181" s="184"/>
      <c r="I181" s="184"/>
      <c r="J181" s="184"/>
      <c r="K181" s="184"/>
      <c r="L181" s="184"/>
      <c r="M181" s="185"/>
      <c r="N181" s="185"/>
      <c r="O181" s="186"/>
      <c r="P181" s="187"/>
      <c r="Q181" s="187"/>
      <c r="R181" s="188"/>
      <c r="S181" s="188"/>
      <c r="T181" s="185"/>
      <c r="U181" s="185"/>
      <c r="V181" s="189"/>
      <c r="W181" s="190"/>
      <c r="X181" s="191"/>
      <c r="Y181" s="186"/>
      <c r="Z181" s="192"/>
      <c r="AA181" s="97"/>
      <c r="AB181" s="193"/>
    </row>
    <row r="182" spans="1:28">
      <c r="A182" s="116"/>
      <c r="B182" s="116"/>
      <c r="C182" s="116"/>
      <c r="D182" s="3"/>
      <c r="E182" s="184"/>
      <c r="F182" s="184"/>
      <c r="G182" s="184"/>
      <c r="H182" s="184"/>
      <c r="I182" s="184"/>
      <c r="J182" s="184"/>
      <c r="K182" s="184"/>
      <c r="L182" s="184"/>
      <c r="M182" s="185"/>
      <c r="N182" s="185"/>
      <c r="O182" s="186"/>
      <c r="P182" s="187"/>
      <c r="Q182" s="187"/>
      <c r="R182" s="188"/>
      <c r="S182" s="188"/>
      <c r="T182" s="185"/>
      <c r="U182" s="185"/>
      <c r="V182" s="189"/>
      <c r="W182" s="190"/>
      <c r="X182" s="191"/>
      <c r="Y182" s="186"/>
      <c r="Z182" s="192"/>
      <c r="AA182" s="97"/>
      <c r="AB182" s="193"/>
    </row>
    <row r="183" spans="1:28">
      <c r="A183" s="116"/>
      <c r="B183" s="116"/>
      <c r="C183" s="116"/>
      <c r="D183" s="3"/>
      <c r="E183" s="184"/>
      <c r="F183" s="184"/>
      <c r="G183" s="184"/>
      <c r="H183" s="184"/>
      <c r="I183" s="184"/>
      <c r="J183" s="184"/>
      <c r="K183" s="184"/>
      <c r="L183" s="184"/>
      <c r="M183" s="185"/>
      <c r="N183" s="185"/>
      <c r="O183" s="186"/>
      <c r="P183" s="187"/>
      <c r="Q183" s="187"/>
      <c r="R183" s="188"/>
      <c r="S183" s="188"/>
      <c r="T183" s="185"/>
      <c r="U183" s="185"/>
      <c r="V183" s="189"/>
      <c r="W183" s="190"/>
      <c r="X183" s="191"/>
      <c r="Y183" s="186"/>
      <c r="Z183" s="192"/>
      <c r="AA183" s="97"/>
      <c r="AB183" s="193"/>
    </row>
    <row r="184" spans="1:28">
      <c r="A184" s="116"/>
      <c r="B184" s="116"/>
      <c r="C184" s="116"/>
      <c r="D184" s="3"/>
      <c r="E184" s="184"/>
      <c r="F184" s="184"/>
      <c r="G184" s="184"/>
      <c r="H184" s="184"/>
      <c r="I184" s="184"/>
      <c r="J184" s="184"/>
      <c r="K184" s="184"/>
      <c r="L184" s="184"/>
      <c r="M184" s="185"/>
      <c r="N184" s="185"/>
      <c r="O184" s="186"/>
      <c r="P184" s="187"/>
      <c r="Q184" s="187"/>
      <c r="R184" s="188"/>
      <c r="S184" s="188"/>
      <c r="T184" s="185"/>
      <c r="U184" s="185"/>
      <c r="V184" s="189"/>
      <c r="W184" s="190"/>
      <c r="X184" s="191"/>
      <c r="Y184" s="186"/>
      <c r="Z184" s="192"/>
      <c r="AA184" s="97"/>
      <c r="AB184" s="193"/>
    </row>
    <row r="185" spans="1:28">
      <c r="A185" s="116"/>
      <c r="B185" s="116"/>
      <c r="C185" s="116"/>
      <c r="D185" s="3"/>
      <c r="E185" s="184"/>
      <c r="F185" s="184"/>
      <c r="G185" s="184"/>
      <c r="H185" s="184"/>
      <c r="I185" s="184"/>
      <c r="J185" s="184"/>
      <c r="K185" s="184"/>
      <c r="L185" s="184"/>
      <c r="M185" s="185"/>
      <c r="N185" s="185"/>
      <c r="O185" s="186"/>
      <c r="P185" s="187"/>
      <c r="Q185" s="187"/>
      <c r="R185" s="188"/>
      <c r="S185" s="188"/>
      <c r="T185" s="185"/>
      <c r="U185" s="185"/>
      <c r="V185" s="189"/>
      <c r="W185" s="190"/>
      <c r="X185" s="191"/>
      <c r="Y185" s="186"/>
      <c r="Z185" s="192"/>
      <c r="AA185" s="97"/>
      <c r="AB185" s="193"/>
    </row>
    <row r="186" spans="1:28">
      <c r="A186" s="116"/>
      <c r="B186" s="116"/>
      <c r="C186" s="116"/>
      <c r="D186" s="3"/>
      <c r="E186" s="184"/>
      <c r="F186" s="184"/>
      <c r="G186" s="184"/>
      <c r="H186" s="184"/>
      <c r="I186" s="184"/>
      <c r="J186" s="184"/>
      <c r="K186" s="184"/>
      <c r="L186" s="184"/>
      <c r="M186" s="185"/>
      <c r="N186" s="185"/>
      <c r="O186" s="186"/>
      <c r="P186" s="187"/>
      <c r="Q186" s="187"/>
      <c r="R186" s="188"/>
      <c r="S186" s="188"/>
      <c r="T186" s="185"/>
      <c r="U186" s="185"/>
      <c r="V186" s="189"/>
      <c r="W186" s="190"/>
      <c r="X186" s="191"/>
      <c r="Y186" s="186"/>
      <c r="Z186" s="192"/>
      <c r="AA186" s="97"/>
      <c r="AB186" s="193"/>
    </row>
    <row r="187" spans="1:28">
      <c r="A187" s="116"/>
      <c r="B187" s="116"/>
      <c r="C187" s="116"/>
      <c r="D187" s="3"/>
      <c r="E187" s="184"/>
      <c r="F187" s="184"/>
      <c r="G187" s="184"/>
      <c r="H187" s="184"/>
      <c r="I187" s="184"/>
      <c r="J187" s="184"/>
      <c r="K187" s="184"/>
      <c r="L187" s="184"/>
      <c r="M187" s="185"/>
      <c r="N187" s="185"/>
      <c r="O187" s="186"/>
      <c r="P187" s="187"/>
      <c r="Q187" s="187"/>
      <c r="R187" s="188"/>
      <c r="S187" s="188"/>
      <c r="T187" s="185"/>
      <c r="U187" s="185"/>
      <c r="V187" s="189"/>
      <c r="W187" s="190"/>
      <c r="X187" s="191"/>
      <c r="Y187" s="186"/>
      <c r="Z187" s="192"/>
      <c r="AA187" s="97"/>
      <c r="AB187" s="193"/>
    </row>
    <row r="188" spans="1:28">
      <c r="A188" s="116"/>
      <c r="B188" s="116"/>
      <c r="C188" s="116"/>
      <c r="D188" s="3"/>
      <c r="E188" s="184"/>
      <c r="F188" s="184"/>
      <c r="G188" s="184"/>
      <c r="H188" s="184"/>
      <c r="I188" s="184"/>
      <c r="J188" s="184"/>
      <c r="K188" s="184"/>
      <c r="L188" s="184"/>
      <c r="M188" s="185"/>
      <c r="N188" s="185"/>
      <c r="O188" s="186"/>
      <c r="P188" s="187"/>
      <c r="Q188" s="187"/>
      <c r="R188" s="188"/>
      <c r="S188" s="188"/>
      <c r="T188" s="185"/>
      <c r="U188" s="185"/>
      <c r="V188" s="189"/>
      <c r="W188" s="190"/>
      <c r="X188" s="191"/>
      <c r="Y188" s="186"/>
      <c r="Z188" s="192"/>
      <c r="AA188" s="97"/>
      <c r="AB188" s="193"/>
    </row>
    <row r="189" spans="1:28">
      <c r="A189" s="116"/>
      <c r="B189" s="116"/>
      <c r="C189" s="116"/>
      <c r="D189" s="3"/>
      <c r="E189" s="184"/>
      <c r="F189" s="184"/>
      <c r="G189" s="184"/>
      <c r="H189" s="184"/>
      <c r="I189" s="184"/>
      <c r="J189" s="184"/>
      <c r="K189" s="184"/>
      <c r="L189" s="184"/>
      <c r="M189" s="185"/>
      <c r="N189" s="185"/>
      <c r="O189" s="186"/>
      <c r="P189" s="187"/>
      <c r="Q189" s="187"/>
      <c r="R189" s="188"/>
      <c r="S189" s="188"/>
      <c r="T189" s="185"/>
      <c r="U189" s="185"/>
      <c r="V189" s="189"/>
      <c r="W189" s="190"/>
      <c r="X189" s="191"/>
      <c r="Y189" s="186"/>
      <c r="Z189" s="192"/>
      <c r="AA189" s="97"/>
      <c r="AB189" s="193"/>
    </row>
    <row r="190" spans="1:28">
      <c r="A190" s="116"/>
      <c r="B190" s="116"/>
      <c r="C190" s="116"/>
      <c r="D190" s="3"/>
      <c r="E190" s="184"/>
      <c r="F190" s="184"/>
      <c r="G190" s="184"/>
      <c r="H190" s="184"/>
      <c r="I190" s="184"/>
      <c r="J190" s="184"/>
      <c r="K190" s="184"/>
      <c r="L190" s="184"/>
      <c r="M190" s="185"/>
      <c r="N190" s="185"/>
      <c r="O190" s="186"/>
      <c r="P190" s="187"/>
      <c r="Q190" s="187"/>
      <c r="R190" s="188"/>
      <c r="S190" s="188"/>
      <c r="T190" s="185"/>
      <c r="U190" s="185"/>
      <c r="V190" s="189"/>
      <c r="W190" s="190"/>
      <c r="X190" s="191"/>
      <c r="Y190" s="186"/>
      <c r="Z190" s="192"/>
      <c r="AA190" s="97"/>
      <c r="AB190" s="193"/>
    </row>
    <row r="191" spans="1:28">
      <c r="A191" s="116"/>
      <c r="B191" s="116"/>
      <c r="C191" s="116"/>
      <c r="D191" s="3"/>
      <c r="E191" s="184"/>
      <c r="F191" s="184"/>
      <c r="G191" s="184"/>
      <c r="H191" s="184"/>
      <c r="I191" s="184"/>
      <c r="J191" s="184"/>
      <c r="K191" s="184"/>
      <c r="L191" s="184"/>
      <c r="M191" s="185"/>
      <c r="N191" s="185"/>
      <c r="O191" s="186"/>
      <c r="P191" s="187"/>
      <c r="Q191" s="187"/>
      <c r="R191" s="188"/>
      <c r="S191" s="188"/>
      <c r="T191" s="185"/>
      <c r="U191" s="185"/>
      <c r="V191" s="189"/>
      <c r="W191" s="190"/>
      <c r="X191" s="191"/>
      <c r="Y191" s="186"/>
      <c r="Z191" s="192"/>
      <c r="AA191" s="97"/>
      <c r="AB191" s="193"/>
    </row>
    <row r="192" spans="1:28">
      <c r="A192" s="116"/>
      <c r="B192" s="116"/>
      <c r="C192" s="116"/>
      <c r="D192" s="3"/>
      <c r="E192" s="184"/>
      <c r="F192" s="184"/>
      <c r="G192" s="184"/>
      <c r="H192" s="184"/>
      <c r="I192" s="184"/>
      <c r="J192" s="184"/>
      <c r="K192" s="184"/>
      <c r="L192" s="184"/>
      <c r="M192" s="185"/>
      <c r="N192" s="185"/>
      <c r="O192" s="186"/>
      <c r="P192" s="187"/>
      <c r="Q192" s="187"/>
      <c r="R192" s="188"/>
      <c r="S192" s="188"/>
      <c r="T192" s="185"/>
      <c r="U192" s="185"/>
      <c r="V192" s="189"/>
      <c r="W192" s="190"/>
      <c r="X192" s="191"/>
      <c r="Y192" s="186"/>
      <c r="Z192" s="192"/>
      <c r="AA192" s="97"/>
      <c r="AB192" s="193"/>
    </row>
    <row r="193" spans="1:28">
      <c r="A193" s="116"/>
      <c r="B193" s="116"/>
      <c r="C193" s="116"/>
      <c r="D193" s="3"/>
      <c r="E193" s="184"/>
      <c r="F193" s="184"/>
      <c r="G193" s="184"/>
      <c r="H193" s="184"/>
      <c r="I193" s="184"/>
      <c r="J193" s="184"/>
      <c r="K193" s="184"/>
      <c r="L193" s="184"/>
      <c r="M193" s="185"/>
      <c r="N193" s="185"/>
      <c r="O193" s="186"/>
      <c r="P193" s="187"/>
      <c r="Q193" s="187"/>
      <c r="R193" s="188"/>
      <c r="S193" s="188"/>
      <c r="T193" s="185"/>
      <c r="U193" s="185"/>
      <c r="V193" s="189"/>
      <c r="W193" s="190"/>
      <c r="X193" s="191"/>
      <c r="Y193" s="186"/>
      <c r="Z193" s="192"/>
      <c r="AA193" s="97"/>
      <c r="AB193" s="193"/>
    </row>
    <row r="194" spans="1:28">
      <c r="A194" s="116"/>
      <c r="B194" s="116"/>
      <c r="C194" s="116"/>
      <c r="D194" s="3"/>
      <c r="E194" s="184"/>
      <c r="F194" s="184"/>
      <c r="G194" s="184"/>
      <c r="H194" s="184"/>
      <c r="I194" s="184"/>
      <c r="J194" s="184"/>
      <c r="K194" s="184"/>
      <c r="L194" s="184"/>
      <c r="M194" s="185"/>
      <c r="N194" s="185"/>
      <c r="O194" s="186"/>
      <c r="P194" s="187"/>
      <c r="Q194" s="187"/>
      <c r="R194" s="188"/>
      <c r="S194" s="188"/>
      <c r="T194" s="185"/>
      <c r="U194" s="185"/>
      <c r="V194" s="189"/>
      <c r="W194" s="190"/>
      <c r="X194" s="191"/>
      <c r="Y194" s="186"/>
      <c r="Z194" s="192"/>
      <c r="AA194" s="97"/>
      <c r="AB194" s="193"/>
    </row>
    <row r="195" spans="1:28">
      <c r="A195" s="116"/>
      <c r="B195" s="116"/>
      <c r="C195" s="116"/>
      <c r="D195" s="3"/>
      <c r="E195" s="184"/>
      <c r="F195" s="184"/>
      <c r="G195" s="184"/>
      <c r="H195" s="184"/>
      <c r="I195" s="184"/>
      <c r="J195" s="184"/>
      <c r="K195" s="184"/>
      <c r="L195" s="184"/>
      <c r="M195" s="185"/>
      <c r="N195" s="185"/>
      <c r="O195" s="186"/>
      <c r="P195" s="187"/>
      <c r="Q195" s="187"/>
      <c r="R195" s="188"/>
      <c r="S195" s="188"/>
      <c r="T195" s="185"/>
      <c r="U195" s="185"/>
      <c r="V195" s="189"/>
      <c r="W195" s="190"/>
      <c r="X195" s="191"/>
      <c r="Y195" s="186"/>
      <c r="Z195" s="192"/>
      <c r="AA195" s="97"/>
      <c r="AB195" s="193"/>
    </row>
    <row r="196" spans="1:28">
      <c r="A196" s="116"/>
      <c r="B196" s="116"/>
      <c r="C196" s="116"/>
      <c r="D196" s="3"/>
      <c r="E196" s="184"/>
      <c r="F196" s="184"/>
      <c r="G196" s="184"/>
      <c r="H196" s="184"/>
      <c r="I196" s="184"/>
      <c r="J196" s="184"/>
      <c r="K196" s="184"/>
      <c r="L196" s="184"/>
      <c r="M196" s="185"/>
      <c r="N196" s="185"/>
      <c r="O196" s="186"/>
      <c r="P196" s="187"/>
      <c r="Q196" s="187"/>
      <c r="R196" s="188"/>
      <c r="S196" s="188"/>
      <c r="T196" s="185"/>
      <c r="U196" s="185"/>
      <c r="V196" s="189"/>
      <c r="W196" s="190"/>
      <c r="X196" s="191"/>
      <c r="Y196" s="186"/>
      <c r="Z196" s="192"/>
      <c r="AA196" s="97"/>
      <c r="AB196" s="193"/>
    </row>
    <row r="197" spans="1:28">
      <c r="A197" s="116"/>
      <c r="B197" s="116"/>
      <c r="C197" s="116"/>
      <c r="D197" s="3"/>
      <c r="E197" s="184"/>
      <c r="F197" s="184"/>
      <c r="G197" s="184"/>
      <c r="H197" s="184"/>
      <c r="I197" s="184"/>
      <c r="J197" s="184"/>
      <c r="K197" s="184"/>
      <c r="L197" s="184"/>
      <c r="M197" s="185"/>
      <c r="N197" s="185"/>
      <c r="O197" s="186"/>
      <c r="P197" s="187"/>
      <c r="Q197" s="187"/>
      <c r="R197" s="188"/>
      <c r="S197" s="188"/>
      <c r="T197" s="185"/>
      <c r="U197" s="185"/>
      <c r="V197" s="189"/>
      <c r="W197" s="190"/>
      <c r="X197" s="191"/>
      <c r="Y197" s="186"/>
      <c r="Z197" s="192"/>
      <c r="AA197" s="97"/>
      <c r="AB197" s="193"/>
    </row>
    <row r="198" spans="1:28">
      <c r="A198" s="116"/>
      <c r="B198" s="116"/>
      <c r="C198" s="116"/>
      <c r="D198" s="3"/>
      <c r="E198" s="184"/>
      <c r="F198" s="184"/>
      <c r="G198" s="184"/>
      <c r="H198" s="184"/>
      <c r="I198" s="184"/>
      <c r="J198" s="184"/>
      <c r="K198" s="184"/>
      <c r="L198" s="184"/>
      <c r="M198" s="185"/>
      <c r="N198" s="185"/>
      <c r="O198" s="186"/>
      <c r="P198" s="187"/>
      <c r="Q198" s="187"/>
      <c r="R198" s="188"/>
      <c r="S198" s="188"/>
      <c r="T198" s="185"/>
      <c r="U198" s="185"/>
      <c r="V198" s="189"/>
      <c r="W198" s="190"/>
      <c r="X198" s="191"/>
      <c r="Y198" s="186"/>
      <c r="Z198" s="192"/>
      <c r="AA198" s="97"/>
      <c r="AB198" s="193"/>
    </row>
    <row r="199" spans="1:28">
      <c r="A199" s="116"/>
      <c r="B199" s="116"/>
      <c r="C199" s="116"/>
      <c r="D199" s="3"/>
      <c r="E199" s="184"/>
      <c r="F199" s="184"/>
      <c r="G199" s="184"/>
      <c r="H199" s="184"/>
      <c r="I199" s="184"/>
      <c r="J199" s="184"/>
      <c r="K199" s="184"/>
      <c r="L199" s="184"/>
      <c r="M199" s="185"/>
      <c r="N199" s="185"/>
      <c r="O199" s="186"/>
      <c r="P199" s="187"/>
      <c r="Q199" s="187"/>
      <c r="R199" s="188"/>
      <c r="S199" s="188"/>
      <c r="T199" s="185"/>
      <c r="U199" s="185"/>
      <c r="V199" s="189"/>
      <c r="W199" s="190"/>
      <c r="X199" s="191"/>
      <c r="Y199" s="186"/>
      <c r="Z199" s="192"/>
      <c r="AA199" s="97"/>
      <c r="AB199" s="193"/>
    </row>
    <row r="200" spans="1:28">
      <c r="A200" s="116"/>
      <c r="B200" s="116"/>
      <c r="C200" s="116"/>
      <c r="D200" s="3"/>
      <c r="E200" s="184"/>
      <c r="F200" s="184"/>
      <c r="G200" s="184"/>
      <c r="H200" s="184"/>
      <c r="I200" s="184"/>
      <c r="J200" s="184"/>
      <c r="K200" s="184"/>
      <c r="L200" s="184"/>
      <c r="M200" s="185"/>
      <c r="N200" s="185"/>
      <c r="O200" s="186"/>
      <c r="P200" s="187"/>
      <c r="Q200" s="187"/>
      <c r="R200" s="188"/>
      <c r="S200" s="188"/>
      <c r="T200" s="185"/>
      <c r="U200" s="185"/>
      <c r="V200" s="189"/>
      <c r="W200" s="190"/>
      <c r="X200" s="191"/>
      <c r="Y200" s="186"/>
      <c r="Z200" s="192"/>
      <c r="AA200" s="97"/>
      <c r="AB200" s="193"/>
    </row>
    <row r="201" spans="1:28">
      <c r="A201" s="116"/>
      <c r="B201" s="116"/>
      <c r="C201" s="116"/>
      <c r="D201" s="3"/>
      <c r="E201" s="184"/>
      <c r="F201" s="184"/>
      <c r="G201" s="184"/>
      <c r="H201" s="184"/>
      <c r="I201" s="184"/>
      <c r="J201" s="184"/>
      <c r="K201" s="184"/>
      <c r="L201" s="184"/>
      <c r="M201" s="185"/>
      <c r="N201" s="185"/>
      <c r="O201" s="186"/>
      <c r="P201" s="187"/>
      <c r="Q201" s="187"/>
      <c r="R201" s="188"/>
      <c r="S201" s="188"/>
      <c r="T201" s="185"/>
      <c r="U201" s="185"/>
      <c r="V201" s="189"/>
      <c r="W201" s="190"/>
      <c r="X201" s="191"/>
      <c r="Y201" s="186"/>
      <c r="Z201" s="192"/>
      <c r="AA201" s="97"/>
      <c r="AB201" s="193"/>
    </row>
    <row r="202" spans="1:28">
      <c r="A202" s="116"/>
      <c r="B202" s="116"/>
      <c r="C202" s="116"/>
      <c r="D202" s="3"/>
      <c r="E202" s="184"/>
      <c r="F202" s="184"/>
      <c r="G202" s="184"/>
      <c r="H202" s="184"/>
      <c r="I202" s="184"/>
      <c r="J202" s="184"/>
      <c r="K202" s="184"/>
      <c r="L202" s="184"/>
      <c r="M202" s="185"/>
      <c r="N202" s="185"/>
      <c r="O202" s="186"/>
      <c r="P202" s="187"/>
      <c r="Q202" s="187"/>
      <c r="R202" s="188"/>
      <c r="S202" s="188"/>
      <c r="T202" s="185"/>
      <c r="U202" s="185"/>
      <c r="V202" s="189"/>
      <c r="W202" s="190"/>
      <c r="X202" s="191"/>
      <c r="Y202" s="186"/>
      <c r="Z202" s="192"/>
      <c r="AA202" s="97"/>
      <c r="AB202" s="193"/>
    </row>
    <row r="203" spans="1:28">
      <c r="A203" s="116"/>
      <c r="B203" s="116"/>
      <c r="C203" s="116"/>
      <c r="D203" s="3"/>
      <c r="E203" s="184"/>
      <c r="F203" s="184"/>
      <c r="G203" s="184"/>
      <c r="H203" s="184"/>
      <c r="I203" s="184"/>
      <c r="J203" s="184"/>
      <c r="K203" s="184"/>
      <c r="L203" s="184"/>
      <c r="M203" s="185"/>
      <c r="N203" s="185"/>
      <c r="O203" s="186"/>
      <c r="P203" s="187"/>
      <c r="Q203" s="187"/>
      <c r="R203" s="188"/>
      <c r="S203" s="188"/>
      <c r="T203" s="185"/>
      <c r="U203" s="185"/>
      <c r="V203" s="189"/>
      <c r="W203" s="190"/>
      <c r="X203" s="191"/>
      <c r="Y203" s="186"/>
      <c r="Z203" s="192"/>
      <c r="AA203" s="97"/>
      <c r="AB203" s="193"/>
    </row>
    <row r="204" spans="1:28">
      <c r="A204" s="116"/>
      <c r="B204" s="116"/>
      <c r="C204" s="116"/>
      <c r="D204" s="3"/>
      <c r="E204" s="184"/>
      <c r="F204" s="184"/>
      <c r="G204" s="184"/>
      <c r="H204" s="184"/>
      <c r="I204" s="184"/>
      <c r="J204" s="184"/>
      <c r="K204" s="184"/>
      <c r="L204" s="184"/>
      <c r="M204" s="185"/>
      <c r="N204" s="185"/>
      <c r="O204" s="186"/>
      <c r="P204" s="187"/>
      <c r="Q204" s="187"/>
      <c r="R204" s="188"/>
      <c r="S204" s="188"/>
      <c r="T204" s="185"/>
      <c r="U204" s="185"/>
      <c r="V204" s="189"/>
      <c r="W204" s="190"/>
      <c r="X204" s="191"/>
      <c r="Y204" s="186"/>
      <c r="Z204" s="192"/>
      <c r="AA204" s="97"/>
      <c r="AB204" s="193"/>
    </row>
    <row r="205" spans="1:28">
      <c r="A205" s="116"/>
      <c r="B205" s="116"/>
      <c r="C205" s="116"/>
      <c r="D205" s="3"/>
      <c r="E205" s="184"/>
      <c r="F205" s="184"/>
      <c r="G205" s="184"/>
      <c r="H205" s="184"/>
      <c r="I205" s="184"/>
      <c r="J205" s="184"/>
      <c r="K205" s="184"/>
      <c r="L205" s="184"/>
      <c r="M205" s="185"/>
      <c r="N205" s="185"/>
      <c r="O205" s="186"/>
      <c r="P205" s="187"/>
      <c r="Q205" s="187"/>
      <c r="R205" s="188"/>
      <c r="S205" s="188"/>
      <c r="T205" s="185"/>
      <c r="U205" s="185"/>
      <c r="V205" s="189"/>
      <c r="W205" s="190"/>
      <c r="X205" s="191"/>
      <c r="Y205" s="186"/>
      <c r="Z205" s="192"/>
      <c r="AA205" s="97"/>
      <c r="AB205" s="193"/>
    </row>
    <row r="206" spans="1:28">
      <c r="A206" s="116"/>
      <c r="B206" s="116"/>
      <c r="C206" s="116"/>
      <c r="D206" s="3"/>
      <c r="E206" s="184"/>
      <c r="F206" s="184"/>
      <c r="G206" s="184"/>
      <c r="H206" s="184"/>
      <c r="I206" s="184"/>
      <c r="J206" s="184"/>
      <c r="K206" s="184"/>
      <c r="L206" s="184"/>
      <c r="M206" s="185"/>
      <c r="N206" s="185"/>
      <c r="O206" s="186"/>
      <c r="P206" s="187"/>
      <c r="Q206" s="187"/>
      <c r="R206" s="188"/>
      <c r="S206" s="188"/>
      <c r="T206" s="185"/>
      <c r="U206" s="185"/>
      <c r="V206" s="189"/>
      <c r="W206" s="190"/>
      <c r="X206" s="191"/>
      <c r="Y206" s="186"/>
      <c r="Z206" s="192"/>
      <c r="AA206" s="97"/>
      <c r="AB206" s="193"/>
    </row>
    <row r="207" spans="1:28">
      <c r="A207" s="116"/>
      <c r="B207" s="116"/>
      <c r="C207" s="116"/>
      <c r="D207" s="3"/>
      <c r="E207" s="184"/>
      <c r="F207" s="184"/>
      <c r="G207" s="184"/>
      <c r="H207" s="184"/>
      <c r="I207" s="184"/>
      <c r="J207" s="184"/>
      <c r="K207" s="184"/>
      <c r="L207" s="184"/>
      <c r="M207" s="185"/>
      <c r="N207" s="185"/>
      <c r="O207" s="186"/>
      <c r="P207" s="187"/>
      <c r="Q207" s="187"/>
      <c r="R207" s="188"/>
      <c r="S207" s="188"/>
      <c r="T207" s="185"/>
      <c r="U207" s="185"/>
      <c r="V207" s="189"/>
      <c r="W207" s="190"/>
      <c r="X207" s="191"/>
      <c r="Y207" s="186"/>
      <c r="Z207" s="192"/>
      <c r="AA207" s="97"/>
      <c r="AB207" s="193"/>
    </row>
    <row r="208" spans="1:28">
      <c r="A208" s="116"/>
      <c r="B208" s="116"/>
      <c r="C208" s="116"/>
      <c r="D208" s="3"/>
      <c r="E208" s="184"/>
      <c r="F208" s="184"/>
      <c r="G208" s="184"/>
      <c r="H208" s="184"/>
      <c r="I208" s="184"/>
      <c r="J208" s="184"/>
      <c r="K208" s="184"/>
      <c r="L208" s="184"/>
      <c r="M208" s="185"/>
      <c r="N208" s="185"/>
      <c r="O208" s="186"/>
      <c r="P208" s="187"/>
      <c r="Q208" s="187"/>
      <c r="R208" s="188"/>
      <c r="S208" s="188"/>
      <c r="T208" s="185"/>
      <c r="U208" s="185"/>
      <c r="V208" s="189"/>
      <c r="W208" s="190"/>
      <c r="X208" s="191"/>
      <c r="Y208" s="186"/>
      <c r="Z208" s="192"/>
      <c r="AA208" s="97"/>
      <c r="AB208" s="193"/>
    </row>
    <row r="209" spans="1:28">
      <c r="A209" s="116"/>
      <c r="B209" s="116"/>
      <c r="C209" s="116"/>
      <c r="D209" s="3"/>
      <c r="E209" s="184"/>
      <c r="F209" s="184"/>
      <c r="G209" s="184"/>
      <c r="H209" s="184"/>
      <c r="I209" s="184"/>
      <c r="J209" s="184"/>
      <c r="K209" s="184"/>
      <c r="L209" s="184"/>
      <c r="M209" s="185"/>
      <c r="N209" s="185"/>
      <c r="O209" s="186"/>
      <c r="P209" s="187"/>
      <c r="Q209" s="187"/>
      <c r="R209" s="188"/>
      <c r="S209" s="188"/>
      <c r="T209" s="185"/>
      <c r="U209" s="185"/>
      <c r="V209" s="189"/>
      <c r="W209" s="190"/>
      <c r="X209" s="191"/>
      <c r="Y209" s="186"/>
      <c r="Z209" s="192"/>
      <c r="AA209" s="97"/>
      <c r="AB209" s="193"/>
    </row>
    <row r="210" spans="1:28">
      <c r="A210" s="116"/>
      <c r="B210" s="116"/>
      <c r="C210" s="116"/>
      <c r="D210" s="3"/>
      <c r="E210" s="184"/>
      <c r="F210" s="184"/>
      <c r="G210" s="184"/>
      <c r="H210" s="184"/>
      <c r="I210" s="184"/>
      <c r="J210" s="184"/>
      <c r="K210" s="184"/>
      <c r="L210" s="184"/>
      <c r="M210" s="185"/>
      <c r="N210" s="185"/>
      <c r="O210" s="186"/>
      <c r="P210" s="187"/>
      <c r="Q210" s="187"/>
      <c r="R210" s="188"/>
      <c r="S210" s="188"/>
      <c r="T210" s="185"/>
      <c r="U210" s="185"/>
      <c r="V210" s="189"/>
      <c r="W210" s="190"/>
      <c r="X210" s="191"/>
      <c r="Y210" s="186"/>
      <c r="Z210" s="192"/>
      <c r="AA210" s="97"/>
      <c r="AB210" s="193"/>
    </row>
    <row r="211" spans="1:28">
      <c r="A211" s="116"/>
      <c r="B211" s="116"/>
      <c r="C211" s="116"/>
      <c r="D211" s="3"/>
      <c r="E211" s="184"/>
      <c r="F211" s="184"/>
      <c r="G211" s="184"/>
      <c r="H211" s="184"/>
      <c r="I211" s="184"/>
      <c r="J211" s="184"/>
      <c r="K211" s="184"/>
      <c r="L211" s="184"/>
      <c r="M211" s="185"/>
      <c r="N211" s="185"/>
      <c r="O211" s="186"/>
      <c r="P211" s="187"/>
      <c r="Q211" s="187"/>
      <c r="R211" s="188"/>
      <c r="S211" s="188"/>
      <c r="T211" s="185"/>
      <c r="U211" s="185"/>
      <c r="V211" s="189"/>
      <c r="W211" s="190"/>
      <c r="X211" s="191"/>
      <c r="Y211" s="186"/>
      <c r="Z211" s="192"/>
      <c r="AA211" s="97"/>
      <c r="AB211" s="193"/>
    </row>
    <row r="212" spans="1:28">
      <c r="A212" s="169"/>
      <c r="B212" s="169"/>
      <c r="C212" s="169"/>
      <c r="D212" s="170"/>
      <c r="E212" s="171"/>
      <c r="F212" s="171"/>
      <c r="G212" s="171"/>
      <c r="H212" s="171"/>
      <c r="I212" s="171"/>
      <c r="J212" s="171"/>
      <c r="K212" s="171"/>
      <c r="L212" s="171"/>
      <c r="M212" s="172"/>
      <c r="N212" s="172"/>
      <c r="O212" s="173"/>
      <c r="P212" s="174"/>
      <c r="Q212" s="174"/>
      <c r="R212" s="175"/>
      <c r="S212" s="175"/>
      <c r="T212" s="172"/>
      <c r="U212" s="172"/>
      <c r="V212" s="176"/>
      <c r="W212" s="177"/>
      <c r="X212" s="178"/>
      <c r="Y212" s="173"/>
      <c r="Z212" s="179"/>
      <c r="AA212" s="180"/>
      <c r="AB212" s="181"/>
    </row>
  </sheetData>
  <sheetProtection formatCells="0" formatColumns="0" formatRows="0" insertColumns="0" insertRows="0" insertHyperlinks="0" deleteColumns="0" deleteRows="0" sort="0" autoFilter="0" pivotTables="0"/>
  <dataConsolidate/>
  <mergeCells count="30">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 ref="AS3:AV3"/>
    <mergeCell ref="AW3:AZ3"/>
  </mergeCells>
  <phoneticPr fontId="8" type="noConversion"/>
  <conditionalFormatting sqref="D5:AB97">
    <cfRule type="expression" dxfId="1" priority="2">
      <formula>($B5="G")</formula>
    </cfRule>
    <cfRule type="expression" dxfId="0" priority="1">
      <formula>($AB5=1)</formula>
    </cfRule>
  </conditionalFormatting>
  <hyperlinks>
    <hyperlink ref="AC1:CA1" r:id="rId1" display="http://xlworks.net/" xr:uid="{A85EE994-9824-4136-AF00-93942FD5AA47}"/>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1020</v>
      </c>
      <c r="B1" s="18"/>
      <c r="C1" s="18"/>
      <c r="D1" s="18"/>
      <c r="E1" s="18"/>
      <c r="F1" s="18"/>
      <c r="G1" s="18"/>
      <c r="H1" s="18"/>
      <c r="I1" s="18"/>
      <c r="J1" s="18"/>
      <c r="K1" s="18"/>
      <c r="L1" s="256"/>
      <c r="M1" s="257"/>
      <c r="N1" s="257"/>
      <c r="O1" s="19"/>
      <c r="P1" s="19"/>
      <c r="Q1" s="19"/>
    </row>
    <row r="2" spans="1:17" s="23" customFormat="1" ht="13.8">
      <c r="A2" s="21" t="s">
        <v>1005</v>
      </c>
      <c r="B2" s="22"/>
    </row>
    <row r="3" spans="1:17" s="23" customFormat="1" ht="13.8">
      <c r="A3" s="21" t="s">
        <v>1006</v>
      </c>
      <c r="B3" s="22"/>
    </row>
    <row r="4" spans="1:17" s="23" customFormat="1" ht="13.8">
      <c r="A4" s="258"/>
      <c r="B4" s="258"/>
      <c r="C4" s="24"/>
      <c r="D4" s="25"/>
      <c r="E4" s="25"/>
      <c r="F4" s="25"/>
    </row>
    <row r="5" spans="1:17" s="31" customFormat="1" ht="13.8">
      <c r="A5" s="26"/>
      <c r="B5" s="27"/>
      <c r="C5" s="28"/>
      <c r="D5" s="29"/>
      <c r="E5" s="30"/>
      <c r="F5" s="30"/>
      <c r="G5" s="30"/>
    </row>
    <row r="6" spans="1:17" s="31" customFormat="1" ht="13.8">
      <c r="A6" s="32" t="s">
        <v>1007</v>
      </c>
      <c r="B6" s="33">
        <v>709</v>
      </c>
      <c r="C6" s="31" t="s">
        <v>0</v>
      </c>
      <c r="D6" s="255" t="s">
        <v>1008</v>
      </c>
      <c r="E6" s="255"/>
      <c r="F6" s="255"/>
      <c r="G6" s="255"/>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1009</v>
      </c>
      <c r="B9" s="33">
        <v>300</v>
      </c>
      <c r="C9" s="31" t="s">
        <v>0</v>
      </c>
      <c r="D9" s="254" t="s">
        <v>1010</v>
      </c>
      <c r="E9" s="254"/>
      <c r="F9" s="254"/>
      <c r="G9" s="254"/>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1004</v>
      </c>
      <c r="B12" s="33">
        <v>283.2</v>
      </c>
      <c r="C12" s="31" t="s">
        <v>0</v>
      </c>
      <c r="D12" s="254" t="s">
        <v>1075</v>
      </c>
      <c r="E12" s="254"/>
      <c r="F12" s="254"/>
      <c r="G12" s="254"/>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1004</v>
      </c>
      <c r="B15" s="33"/>
      <c r="C15" s="31" t="s">
        <v>0</v>
      </c>
      <c r="D15" s="254" t="s">
        <v>1011</v>
      </c>
      <c r="E15" s="254"/>
      <c r="F15" s="254"/>
      <c r="G15" s="254"/>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1012</v>
      </c>
      <c r="B18" s="55">
        <v>0.42313117066290551</v>
      </c>
      <c r="D18" s="254" t="s">
        <v>1013</v>
      </c>
      <c r="E18" s="254"/>
      <c r="F18" s="254"/>
      <c r="G18" s="254"/>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1014</v>
      </c>
      <c r="B21" s="55">
        <v>0.39943582510578279</v>
      </c>
      <c r="D21" s="254" t="s">
        <v>1015</v>
      </c>
      <c r="E21" s="254"/>
      <c r="F21" s="254"/>
      <c r="G21" s="254"/>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1016</v>
      </c>
      <c r="B24" s="65">
        <f>ACTUAL_RATE-PLANNED_RATE</f>
        <v>-2.3695345557122716E-2</v>
      </c>
      <c r="D24" s="255" t="s">
        <v>1017</v>
      </c>
      <c r="E24" s="255"/>
      <c r="F24" s="255"/>
      <c r="G24" s="255"/>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30"/>
  <sheetViews>
    <sheetView showGridLines="0" zoomScale="80" zoomScaleNormal="80" workbookViewId="0">
      <pane ySplit="1" topLeftCell="A2" activePane="bottomLeft" state="frozen"/>
      <selection pane="bottomLeft" activeCell="J26" sqref="J26"/>
    </sheetView>
  </sheetViews>
  <sheetFormatPr defaultColWidth="9.09765625" defaultRowHeight="14.4"/>
  <cols>
    <col min="1" max="1" width="1.69921875" style="213" customWidth="1"/>
    <col min="2" max="3" width="10.59765625" style="213" bestFit="1" customWidth="1"/>
    <col min="4" max="4" width="9.09765625" style="213"/>
    <col min="5" max="5" width="10.69921875" style="213" customWidth="1"/>
    <col min="6" max="16384" width="9.09765625" style="213"/>
  </cols>
  <sheetData>
    <row r="1" spans="2:6" ht="37.200000000000003" customHeight="1">
      <c r="B1" s="78" t="s">
        <v>1067</v>
      </c>
    </row>
    <row r="2" spans="2:6">
      <c r="B2" s="213" t="s">
        <v>1068</v>
      </c>
    </row>
    <row r="3" spans="2:6">
      <c r="B3" s="213" t="s">
        <v>1069</v>
      </c>
    </row>
    <row r="6" spans="2:6" ht="28.8">
      <c r="B6" s="79" t="s">
        <v>1021</v>
      </c>
      <c r="C6" s="183" t="s">
        <v>1022</v>
      </c>
      <c r="D6" s="183" t="s">
        <v>1</v>
      </c>
      <c r="E6" s="183" t="s">
        <v>1070</v>
      </c>
      <c r="F6" s="212" t="s">
        <v>1071</v>
      </c>
    </row>
    <row r="7" spans="2:6">
      <c r="B7" s="208">
        <v>43481</v>
      </c>
      <c r="C7" s="208">
        <v>43484</v>
      </c>
      <c r="D7" s="209">
        <v>9</v>
      </c>
      <c r="E7" s="209">
        <f>D7</f>
        <v>9</v>
      </c>
      <c r="F7" s="214">
        <f t="shared" ref="F7:F29" si="0">E7/$D$30</f>
        <v>1.5332197614991482E-2</v>
      </c>
    </row>
    <row r="8" spans="2:6">
      <c r="B8" s="210">
        <v>43485</v>
      </c>
      <c r="C8" s="210">
        <v>43491</v>
      </c>
      <c r="D8" s="211">
        <v>39</v>
      </c>
      <c r="E8" s="211">
        <f>E7+D8</f>
        <v>48</v>
      </c>
      <c r="F8" s="215">
        <f t="shared" si="0"/>
        <v>8.1771720613287899E-2</v>
      </c>
    </row>
    <row r="9" spans="2:6">
      <c r="B9" s="210">
        <v>43492</v>
      </c>
      <c r="C9" s="210">
        <v>43498</v>
      </c>
      <c r="D9" s="211">
        <v>47</v>
      </c>
      <c r="E9" s="211">
        <f t="shared" ref="E9:E29" si="1">E8+D9</f>
        <v>95</v>
      </c>
      <c r="F9" s="215">
        <f t="shared" si="0"/>
        <v>0.16183986371379896</v>
      </c>
    </row>
    <row r="10" spans="2:6">
      <c r="B10" s="210">
        <v>43499</v>
      </c>
      <c r="C10" s="210">
        <v>43505</v>
      </c>
      <c r="D10" s="211">
        <v>0</v>
      </c>
      <c r="E10" s="211">
        <f t="shared" si="1"/>
        <v>95</v>
      </c>
      <c r="F10" s="215">
        <f t="shared" si="0"/>
        <v>0.16183986371379896</v>
      </c>
    </row>
    <row r="11" spans="2:6">
      <c r="B11" s="210">
        <v>43506</v>
      </c>
      <c r="C11" s="210">
        <v>43512</v>
      </c>
      <c r="D11" s="211">
        <v>12</v>
      </c>
      <c r="E11" s="211">
        <f t="shared" si="1"/>
        <v>107</v>
      </c>
      <c r="F11" s="215">
        <f t="shared" si="0"/>
        <v>0.18228279386712096</v>
      </c>
    </row>
    <row r="12" spans="2:6">
      <c r="B12" s="210">
        <v>43513</v>
      </c>
      <c r="C12" s="210">
        <v>43519</v>
      </c>
      <c r="D12" s="211">
        <v>25</v>
      </c>
      <c r="E12" s="211">
        <f t="shared" si="1"/>
        <v>132</v>
      </c>
      <c r="F12" s="215">
        <f t="shared" si="0"/>
        <v>0.22487223168654175</v>
      </c>
    </row>
    <row r="13" spans="2:6">
      <c r="B13" s="210">
        <v>43520</v>
      </c>
      <c r="C13" s="210">
        <v>43526</v>
      </c>
      <c r="D13" s="211">
        <v>36</v>
      </c>
      <c r="E13" s="211">
        <f t="shared" si="1"/>
        <v>168</v>
      </c>
      <c r="F13" s="215">
        <f t="shared" si="0"/>
        <v>0.28620102214650767</v>
      </c>
    </row>
    <row r="14" spans="2:6">
      <c r="B14" s="210">
        <v>43527</v>
      </c>
      <c r="C14" s="210">
        <v>43533</v>
      </c>
      <c r="D14" s="211">
        <v>21</v>
      </c>
      <c r="E14" s="211">
        <f t="shared" si="1"/>
        <v>189</v>
      </c>
      <c r="F14" s="215">
        <f t="shared" si="0"/>
        <v>0.3219761499148211</v>
      </c>
    </row>
    <row r="15" spans="2:6">
      <c r="B15" s="210">
        <v>43534</v>
      </c>
      <c r="C15" s="210">
        <v>43540</v>
      </c>
      <c r="D15" s="211">
        <v>10</v>
      </c>
      <c r="E15" s="211">
        <f t="shared" si="1"/>
        <v>199</v>
      </c>
      <c r="F15" s="215">
        <f t="shared" si="0"/>
        <v>0.33901192504258942</v>
      </c>
    </row>
    <row r="16" spans="2:6">
      <c r="B16" s="210">
        <v>43541</v>
      </c>
      <c r="C16" s="210">
        <v>43547</v>
      </c>
      <c r="D16" s="211">
        <v>10</v>
      </c>
      <c r="E16" s="211">
        <f t="shared" si="1"/>
        <v>209</v>
      </c>
      <c r="F16" s="215">
        <f t="shared" si="0"/>
        <v>0.35604770017035775</v>
      </c>
    </row>
    <row r="17" spans="2:6">
      <c r="B17" s="210">
        <v>43548</v>
      </c>
      <c r="C17" s="210">
        <v>43554</v>
      </c>
      <c r="D17" s="211">
        <v>16</v>
      </c>
      <c r="E17" s="211">
        <f t="shared" si="1"/>
        <v>225</v>
      </c>
      <c r="F17" s="215">
        <f t="shared" si="0"/>
        <v>0.38330494037478707</v>
      </c>
    </row>
    <row r="18" spans="2:6">
      <c r="B18" s="210">
        <v>43555</v>
      </c>
      <c r="C18" s="210">
        <v>43561</v>
      </c>
      <c r="D18" s="211">
        <v>30</v>
      </c>
      <c r="E18" s="211">
        <f t="shared" si="1"/>
        <v>255</v>
      </c>
      <c r="F18" s="215">
        <f t="shared" si="0"/>
        <v>0.434412265758092</v>
      </c>
    </row>
    <row r="19" spans="2:6">
      <c r="B19" s="210">
        <v>43562</v>
      </c>
      <c r="C19" s="210">
        <v>43568</v>
      </c>
      <c r="D19" s="211">
        <v>30</v>
      </c>
      <c r="E19" s="211">
        <f t="shared" si="1"/>
        <v>285</v>
      </c>
      <c r="F19" s="215">
        <f t="shared" si="0"/>
        <v>0.48551959114139692</v>
      </c>
    </row>
    <row r="20" spans="2:6">
      <c r="B20" s="210">
        <v>43569</v>
      </c>
      <c r="C20" s="210">
        <v>43575</v>
      </c>
      <c r="D20" s="211">
        <v>26</v>
      </c>
      <c r="E20" s="211">
        <f t="shared" si="1"/>
        <v>311</v>
      </c>
      <c r="F20" s="215">
        <f t="shared" si="0"/>
        <v>0.52981260647359452</v>
      </c>
    </row>
    <row r="21" spans="2:6">
      <c r="B21" s="210">
        <v>43576</v>
      </c>
      <c r="C21" s="210">
        <v>43582</v>
      </c>
      <c r="D21" s="211">
        <v>20</v>
      </c>
      <c r="E21" s="211">
        <f t="shared" si="1"/>
        <v>331</v>
      </c>
      <c r="F21" s="215">
        <f t="shared" si="0"/>
        <v>0.56388415672913117</v>
      </c>
    </row>
    <row r="22" spans="2:6">
      <c r="B22" s="210">
        <v>43583</v>
      </c>
      <c r="C22" s="210">
        <v>43589</v>
      </c>
      <c r="D22" s="211">
        <v>32</v>
      </c>
      <c r="E22" s="211">
        <f t="shared" si="1"/>
        <v>363</v>
      </c>
      <c r="F22" s="215">
        <f t="shared" si="0"/>
        <v>0.61839863713798982</v>
      </c>
    </row>
    <row r="23" spans="2:6">
      <c r="B23" s="210">
        <v>43590</v>
      </c>
      <c r="C23" s="210">
        <v>43596</v>
      </c>
      <c r="D23" s="211">
        <v>36</v>
      </c>
      <c r="E23" s="211">
        <f t="shared" si="1"/>
        <v>399</v>
      </c>
      <c r="F23" s="215">
        <f t="shared" si="0"/>
        <v>0.67972742759795568</v>
      </c>
    </row>
    <row r="24" spans="2:6">
      <c r="B24" s="210">
        <v>43597</v>
      </c>
      <c r="C24" s="210">
        <v>43603</v>
      </c>
      <c r="D24" s="211">
        <v>19</v>
      </c>
      <c r="E24" s="211">
        <f t="shared" si="1"/>
        <v>418</v>
      </c>
      <c r="F24" s="215">
        <f t="shared" si="0"/>
        <v>0.7120954003407155</v>
      </c>
    </row>
    <row r="25" spans="2:6">
      <c r="B25" s="210">
        <v>43604</v>
      </c>
      <c r="C25" s="210">
        <v>43610</v>
      </c>
      <c r="D25" s="211">
        <v>30</v>
      </c>
      <c r="E25" s="211">
        <f t="shared" si="1"/>
        <v>448</v>
      </c>
      <c r="F25" s="215">
        <f t="shared" si="0"/>
        <v>0.76320272572402048</v>
      </c>
    </row>
    <row r="26" spans="2:6">
      <c r="B26" s="210">
        <v>43611</v>
      </c>
      <c r="C26" s="210">
        <v>43617</v>
      </c>
      <c r="D26" s="211">
        <v>30</v>
      </c>
      <c r="E26" s="211">
        <f t="shared" si="1"/>
        <v>478</v>
      </c>
      <c r="F26" s="215">
        <f t="shared" si="0"/>
        <v>0.81431005110732535</v>
      </c>
    </row>
    <row r="27" spans="2:6">
      <c r="B27" s="210">
        <v>43618</v>
      </c>
      <c r="C27" s="210">
        <v>43624</v>
      </c>
      <c r="D27" s="211">
        <v>33</v>
      </c>
      <c r="E27" s="211">
        <f t="shared" si="1"/>
        <v>511</v>
      </c>
      <c r="F27" s="215">
        <f t="shared" si="0"/>
        <v>0.87052810902896083</v>
      </c>
    </row>
    <row r="28" spans="2:6">
      <c r="B28" s="210">
        <v>43625</v>
      </c>
      <c r="C28" s="210">
        <v>43631</v>
      </c>
      <c r="D28" s="211">
        <v>53</v>
      </c>
      <c r="E28" s="211">
        <f t="shared" si="1"/>
        <v>564</v>
      </c>
      <c r="F28" s="215">
        <f t="shared" si="0"/>
        <v>0.96081771720613285</v>
      </c>
    </row>
    <row r="29" spans="2:6">
      <c r="B29" s="210">
        <v>43632</v>
      </c>
      <c r="C29" s="210">
        <v>43638</v>
      </c>
      <c r="D29" s="211">
        <v>23</v>
      </c>
      <c r="E29" s="211">
        <f t="shared" si="1"/>
        <v>587</v>
      </c>
      <c r="F29" s="215">
        <f t="shared" si="0"/>
        <v>1</v>
      </c>
    </row>
    <row r="30" spans="2:6">
      <c r="C30" s="213" t="s">
        <v>3</v>
      </c>
      <c r="D30" s="213">
        <f>SUM(D7:D29)</f>
        <v>587</v>
      </c>
    </row>
  </sheetData>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A10" sqref="A10"/>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1024</v>
      </c>
      <c r="B1" s="17"/>
      <c r="C1" s="17"/>
      <c r="D1" s="17"/>
      <c r="E1" s="17"/>
      <c r="F1" s="17"/>
      <c r="G1" s="17"/>
      <c r="H1" s="17"/>
    </row>
    <row r="2" spans="1:9" s="81" customFormat="1" ht="78.75" customHeight="1">
      <c r="A2" s="259" t="s">
        <v>1025</v>
      </c>
      <c r="B2" s="259"/>
      <c r="C2" s="259"/>
      <c r="D2" s="259"/>
      <c r="E2" s="259"/>
      <c r="F2" s="259"/>
      <c r="G2" s="259"/>
      <c r="H2" s="259"/>
    </row>
    <row r="3" spans="1:9" s="81" customFormat="1" ht="24.75" customHeight="1">
      <c r="A3" s="260" t="s">
        <v>1026</v>
      </c>
      <c r="B3" s="260"/>
      <c r="D3" s="260" t="s">
        <v>1027</v>
      </c>
      <c r="E3" s="260"/>
      <c r="G3" s="260" t="s">
        <v>1028</v>
      </c>
      <c r="H3" s="260"/>
    </row>
    <row r="4" spans="1:9" s="83" customFormat="1" ht="19.5" customHeight="1">
      <c r="A4" s="82" t="s">
        <v>1029</v>
      </c>
      <c r="B4" s="82" t="s">
        <v>1031</v>
      </c>
      <c r="D4" s="82" t="s">
        <v>1030</v>
      </c>
      <c r="E4" s="82" t="s">
        <v>1032</v>
      </c>
      <c r="G4" s="82" t="s">
        <v>1030</v>
      </c>
      <c r="H4" s="82" t="s">
        <v>1031</v>
      </c>
    </row>
    <row r="5" spans="1:9" ht="17.399999999999999">
      <c r="A5" s="118" t="s">
        <v>980</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981</v>
      </c>
      <c r="B6" s="119">
        <v>43146</v>
      </c>
      <c r="C6" s="86" t="str">
        <f t="shared" si="0"/>
        <v>(목)</v>
      </c>
      <c r="D6" s="84"/>
      <c r="E6" s="85"/>
      <c r="F6" s="86" t="str">
        <f t="shared" si="1"/>
        <v/>
      </c>
      <c r="G6" s="84"/>
      <c r="H6" s="85"/>
      <c r="I6" s="86" t="str">
        <f t="shared" si="2"/>
        <v/>
      </c>
    </row>
    <row r="7" spans="1:9" ht="17.399999999999999">
      <c r="A7" s="118" t="s">
        <v>982</v>
      </c>
      <c r="B7" s="119">
        <v>43147</v>
      </c>
      <c r="C7" s="86" t="str">
        <f t="shared" si="0"/>
        <v>(금)</v>
      </c>
      <c r="D7" s="84"/>
      <c r="E7" s="85"/>
      <c r="F7" s="86" t="str">
        <f t="shared" si="1"/>
        <v/>
      </c>
      <c r="G7" s="84"/>
      <c r="H7" s="85"/>
      <c r="I7" s="86" t="str">
        <f t="shared" si="2"/>
        <v/>
      </c>
    </row>
    <row r="8" spans="1:9" ht="17.399999999999999">
      <c r="A8" s="118" t="s">
        <v>983</v>
      </c>
      <c r="B8" s="119">
        <v>43160</v>
      </c>
      <c r="C8" s="86" t="str">
        <f t="shared" si="0"/>
        <v>(목)</v>
      </c>
      <c r="D8" s="84"/>
      <c r="E8" s="85"/>
      <c r="F8" s="86" t="str">
        <f t="shared" si="1"/>
        <v/>
      </c>
      <c r="G8" s="84"/>
      <c r="H8" s="85"/>
      <c r="I8" s="86" t="str">
        <f t="shared" si="2"/>
        <v/>
      </c>
    </row>
    <row r="9" spans="1:9" ht="17.399999999999999">
      <c r="A9" s="118" t="s">
        <v>897</v>
      </c>
      <c r="B9" s="119">
        <v>43227</v>
      </c>
      <c r="C9" s="86" t="str">
        <f t="shared" si="0"/>
        <v>(월)</v>
      </c>
      <c r="D9" s="84"/>
      <c r="E9" s="85"/>
      <c r="F9" s="86" t="str">
        <f t="shared" si="1"/>
        <v/>
      </c>
      <c r="G9" s="84"/>
      <c r="H9" s="85"/>
      <c r="I9" s="86" t="str">
        <f t="shared" si="2"/>
        <v/>
      </c>
    </row>
    <row r="10" spans="1:9" ht="17.399999999999999">
      <c r="A10" s="118" t="s">
        <v>898</v>
      </c>
      <c r="B10" s="119">
        <v>43242</v>
      </c>
      <c r="C10" s="86" t="str">
        <f t="shared" si="0"/>
        <v>(화)</v>
      </c>
      <c r="D10" s="84"/>
      <c r="E10" s="85"/>
      <c r="F10" s="86" t="str">
        <f t="shared" si="1"/>
        <v/>
      </c>
      <c r="G10" s="84"/>
      <c r="H10" s="85"/>
      <c r="I10" s="86" t="str">
        <f t="shared" si="2"/>
        <v/>
      </c>
    </row>
    <row r="11" spans="1:9" ht="17.399999999999999">
      <c r="A11" s="118" t="s">
        <v>899</v>
      </c>
      <c r="B11" s="119">
        <v>43257</v>
      </c>
      <c r="C11" s="86" t="str">
        <f t="shared" si="0"/>
        <v>(수)</v>
      </c>
      <c r="D11" s="84"/>
      <c r="E11" s="85"/>
      <c r="F11" s="86" t="str">
        <f t="shared" si="1"/>
        <v/>
      </c>
      <c r="G11" s="84"/>
      <c r="H11" s="85"/>
      <c r="I11" s="86" t="str">
        <f t="shared" si="2"/>
        <v/>
      </c>
    </row>
    <row r="12" spans="1:9" ht="17.399999999999999">
      <c r="A12" s="118" t="s">
        <v>900</v>
      </c>
      <c r="B12" s="119">
        <v>43327</v>
      </c>
      <c r="C12" s="86" t="str">
        <f t="shared" si="0"/>
        <v>(수)</v>
      </c>
      <c r="D12" s="84"/>
      <c r="E12" s="85"/>
      <c r="F12" s="86" t="str">
        <f t="shared" si="1"/>
        <v/>
      </c>
      <c r="G12" s="84"/>
      <c r="H12" s="85"/>
      <c r="I12" s="86" t="str">
        <f t="shared" si="2"/>
        <v/>
      </c>
    </row>
    <row r="13" spans="1:9" ht="17.399999999999999">
      <c r="A13" s="118" t="s">
        <v>901</v>
      </c>
      <c r="B13" s="119">
        <v>43367</v>
      </c>
      <c r="C13" s="86" t="str">
        <f t="shared" si="0"/>
        <v>(월)</v>
      </c>
      <c r="D13" s="84"/>
      <c r="E13" s="85"/>
      <c r="F13" s="86" t="str">
        <f t="shared" si="1"/>
        <v/>
      </c>
      <c r="G13" s="84"/>
      <c r="H13" s="85"/>
      <c r="I13" s="86" t="str">
        <f t="shared" si="2"/>
        <v/>
      </c>
    </row>
    <row r="14" spans="1:9" ht="17.399999999999999">
      <c r="A14" s="118" t="s">
        <v>902</v>
      </c>
      <c r="B14" s="119">
        <v>43368</v>
      </c>
      <c r="C14" s="86" t="str">
        <f t="shared" si="0"/>
        <v>(화)</v>
      </c>
      <c r="D14" s="84"/>
      <c r="E14" s="85"/>
      <c r="F14" s="86" t="str">
        <f t="shared" si="1"/>
        <v/>
      </c>
      <c r="G14" s="84"/>
      <c r="H14" s="85"/>
      <c r="I14" s="86" t="str">
        <f t="shared" si="2"/>
        <v/>
      </c>
    </row>
    <row r="15" spans="1:9" ht="17.399999999999999">
      <c r="A15" s="118" t="s">
        <v>903</v>
      </c>
      <c r="B15" s="119">
        <v>43369</v>
      </c>
      <c r="C15" s="86" t="str">
        <f t="shared" si="0"/>
        <v>(수)</v>
      </c>
      <c r="D15" s="84"/>
      <c r="E15" s="85"/>
      <c r="F15" s="86" t="str">
        <f t="shared" si="1"/>
        <v/>
      </c>
      <c r="G15" s="84"/>
      <c r="H15" s="85"/>
      <c r="I15" s="86" t="str">
        <f t="shared" si="2"/>
        <v/>
      </c>
    </row>
    <row r="16" spans="1:9" ht="17.399999999999999">
      <c r="A16" s="118" t="s">
        <v>904</v>
      </c>
      <c r="B16" s="119">
        <v>43376</v>
      </c>
      <c r="C16" s="86" t="str">
        <f t="shared" si="0"/>
        <v>(수)</v>
      </c>
      <c r="D16" s="84"/>
      <c r="E16" s="85"/>
      <c r="F16" s="86" t="str">
        <f t="shared" si="1"/>
        <v/>
      </c>
      <c r="G16" s="84"/>
      <c r="H16" s="85"/>
      <c r="I16" s="86" t="str">
        <f t="shared" si="2"/>
        <v/>
      </c>
    </row>
    <row r="17" spans="1:10" ht="17.399999999999999">
      <c r="A17" s="118" t="s">
        <v>905</v>
      </c>
      <c r="B17" s="119">
        <v>43382</v>
      </c>
      <c r="C17" s="86" t="str">
        <f t="shared" si="0"/>
        <v>(화)</v>
      </c>
      <c r="D17" s="84"/>
      <c r="E17" s="85"/>
      <c r="F17" s="86" t="str">
        <f t="shared" si="1"/>
        <v/>
      </c>
      <c r="G17" s="84"/>
      <c r="H17" s="85"/>
      <c r="I17" s="86" t="str">
        <f t="shared" si="2"/>
        <v/>
      </c>
    </row>
    <row r="18" spans="1:10" ht="17.399999999999999">
      <c r="A18" s="118" t="s">
        <v>906</v>
      </c>
      <c r="B18" s="119">
        <v>43459</v>
      </c>
      <c r="C18" s="86" t="str">
        <f t="shared" si="0"/>
        <v>(화)</v>
      </c>
      <c r="D18" s="84"/>
      <c r="E18" s="85"/>
      <c r="F18" s="86" t="str">
        <f t="shared" si="1"/>
        <v/>
      </c>
      <c r="G18" s="84"/>
      <c r="H18" s="85"/>
      <c r="I18" s="86" t="str">
        <f t="shared" si="2"/>
        <v/>
      </c>
    </row>
    <row r="19" spans="1:10" ht="17.399999999999999">
      <c r="A19" s="118" t="s">
        <v>984</v>
      </c>
      <c r="B19" s="119">
        <v>43466</v>
      </c>
      <c r="C19" s="86" t="str">
        <f t="shared" si="0"/>
        <v>(화)</v>
      </c>
      <c r="D19" s="84"/>
      <c r="E19" s="85"/>
      <c r="F19" s="86" t="str">
        <f t="shared" si="1"/>
        <v/>
      </c>
      <c r="G19" s="84"/>
      <c r="H19" s="85"/>
      <c r="I19" s="86" t="str">
        <f t="shared" si="2"/>
        <v/>
      </c>
      <c r="J19" s="87"/>
    </row>
    <row r="20" spans="1:10" ht="17.399999999999999">
      <c r="A20" s="118" t="s">
        <v>985</v>
      </c>
      <c r="B20" s="119">
        <v>43500</v>
      </c>
      <c r="C20" s="86" t="str">
        <f t="shared" si="0"/>
        <v>(월)</v>
      </c>
      <c r="D20" s="84"/>
      <c r="E20" s="85"/>
      <c r="F20" s="86" t="str">
        <f t="shared" si="1"/>
        <v/>
      </c>
      <c r="G20" s="84"/>
      <c r="H20" s="85"/>
      <c r="I20" s="86" t="str">
        <f t="shared" si="2"/>
        <v/>
      </c>
      <c r="J20" s="87"/>
    </row>
    <row r="21" spans="1:10" ht="17.399999999999999">
      <c r="A21" s="118" t="s">
        <v>986</v>
      </c>
      <c r="B21" s="119">
        <v>43501</v>
      </c>
      <c r="C21" s="86" t="str">
        <f t="shared" si="0"/>
        <v>(화)</v>
      </c>
      <c r="D21" s="84"/>
      <c r="E21" s="85"/>
      <c r="F21" s="86" t="str">
        <f t="shared" si="1"/>
        <v/>
      </c>
      <c r="G21" s="84"/>
      <c r="H21" s="85"/>
      <c r="I21" s="86" t="str">
        <f t="shared" si="2"/>
        <v/>
      </c>
    </row>
    <row r="22" spans="1:10" ht="17.399999999999999">
      <c r="A22" s="118" t="s">
        <v>985</v>
      </c>
      <c r="B22" s="119">
        <v>43502</v>
      </c>
      <c r="C22" s="86" t="str">
        <f t="shared" si="0"/>
        <v>(수)</v>
      </c>
      <c r="D22" s="84"/>
      <c r="E22" s="85"/>
      <c r="F22" s="86" t="str">
        <f t="shared" si="1"/>
        <v/>
      </c>
      <c r="G22" s="84"/>
      <c r="H22" s="85"/>
      <c r="I22" s="86" t="str">
        <f t="shared" si="2"/>
        <v/>
      </c>
    </row>
    <row r="23" spans="1:10" ht="17.399999999999999">
      <c r="A23" s="118" t="s">
        <v>987</v>
      </c>
      <c r="B23" s="119">
        <v>43525</v>
      </c>
      <c r="C23" s="86" t="str">
        <f t="shared" si="0"/>
        <v>(금)</v>
      </c>
      <c r="D23" s="84"/>
      <c r="E23" s="85"/>
      <c r="F23" s="86" t="str">
        <f t="shared" si="1"/>
        <v/>
      </c>
      <c r="G23" s="84"/>
      <c r="H23" s="85"/>
      <c r="I23" s="86" t="str">
        <f t="shared" si="2"/>
        <v/>
      </c>
    </row>
    <row r="24" spans="1:10" ht="17.399999999999999">
      <c r="A24" s="118" t="s">
        <v>988</v>
      </c>
      <c r="B24" s="119">
        <v>43591</v>
      </c>
      <c r="C24" s="86" t="str">
        <f t="shared" si="0"/>
        <v>(월)</v>
      </c>
      <c r="D24" s="84"/>
      <c r="E24" s="85"/>
      <c r="F24" s="86" t="str">
        <f t="shared" si="1"/>
        <v/>
      </c>
      <c r="G24" s="84"/>
      <c r="H24" s="85"/>
      <c r="I24" s="86" t="str">
        <f t="shared" si="2"/>
        <v/>
      </c>
    </row>
    <row r="25" spans="1:10" ht="17.399999999999999">
      <c r="A25" s="118" t="s">
        <v>989</v>
      </c>
      <c r="B25" s="119">
        <v>43622</v>
      </c>
      <c r="C25" s="86" t="str">
        <f t="shared" si="0"/>
        <v>(목)</v>
      </c>
      <c r="D25" s="84"/>
      <c r="E25" s="85"/>
      <c r="F25" s="86" t="str">
        <f t="shared" si="1"/>
        <v/>
      </c>
      <c r="G25" s="84"/>
      <c r="H25" s="85"/>
      <c r="I25" s="86" t="str">
        <f t="shared" si="2"/>
        <v/>
      </c>
    </row>
    <row r="26" spans="1:10" ht="17.399999999999999">
      <c r="A26" s="118" t="s">
        <v>990</v>
      </c>
      <c r="B26" s="119">
        <v>43692</v>
      </c>
      <c r="C26" s="86" t="str">
        <f t="shared" si="0"/>
        <v>(목)</v>
      </c>
      <c r="D26" s="84"/>
      <c r="E26" s="85"/>
      <c r="F26" s="86" t="str">
        <f t="shared" si="1"/>
        <v/>
      </c>
      <c r="G26" s="84"/>
      <c r="H26" s="85"/>
      <c r="I26" s="86" t="str">
        <f t="shared" si="2"/>
        <v/>
      </c>
    </row>
    <row r="27" spans="1:10" ht="17.399999999999999">
      <c r="A27" s="118" t="s">
        <v>991</v>
      </c>
      <c r="B27" s="119">
        <v>43720</v>
      </c>
      <c r="C27" s="86" t="str">
        <f t="shared" si="0"/>
        <v>(목)</v>
      </c>
      <c r="D27" s="84"/>
      <c r="E27" s="85"/>
      <c r="F27" s="86" t="str">
        <f t="shared" si="1"/>
        <v/>
      </c>
      <c r="G27" s="84"/>
      <c r="H27" s="85"/>
      <c r="I27" s="86" t="str">
        <f t="shared" si="2"/>
        <v/>
      </c>
    </row>
    <row r="28" spans="1:10" ht="17.399999999999999">
      <c r="A28" s="118" t="s">
        <v>992</v>
      </c>
      <c r="B28" s="119">
        <v>43721</v>
      </c>
      <c r="C28" s="86" t="str">
        <f t="shared" si="0"/>
        <v>(금)</v>
      </c>
      <c r="D28" s="84"/>
      <c r="E28" s="85"/>
      <c r="F28" s="86" t="str">
        <f t="shared" si="1"/>
        <v/>
      </c>
      <c r="G28" s="84"/>
      <c r="H28" s="85"/>
      <c r="I28" s="86" t="str">
        <f t="shared" si="2"/>
        <v/>
      </c>
    </row>
    <row r="29" spans="1:10" ht="17.399999999999999">
      <c r="A29" s="118" t="s">
        <v>993</v>
      </c>
      <c r="B29" s="119">
        <v>43741</v>
      </c>
      <c r="C29" s="86" t="str">
        <f t="shared" si="0"/>
        <v>(목)</v>
      </c>
      <c r="D29" s="84"/>
      <c r="E29" s="85"/>
      <c r="F29" s="86" t="str">
        <f t="shared" si="1"/>
        <v/>
      </c>
      <c r="G29" s="84"/>
      <c r="H29" s="85"/>
      <c r="I29" s="86" t="str">
        <f t="shared" si="2"/>
        <v/>
      </c>
    </row>
    <row r="30" spans="1:10" ht="17.399999999999999">
      <c r="A30" s="118" t="s">
        <v>994</v>
      </c>
      <c r="B30" s="119">
        <v>43747</v>
      </c>
      <c r="C30" s="86" t="str">
        <f t="shared" si="0"/>
        <v>(수)</v>
      </c>
      <c r="D30" s="84"/>
      <c r="E30" s="85"/>
      <c r="F30" s="86" t="str">
        <f t="shared" si="1"/>
        <v/>
      </c>
      <c r="G30" s="84"/>
      <c r="H30" s="85"/>
      <c r="I30" s="86" t="str">
        <f t="shared" si="2"/>
        <v/>
      </c>
    </row>
    <row r="31" spans="1:10" ht="17.399999999999999">
      <c r="A31" s="118" t="s">
        <v>995</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1033</v>
      </c>
      <c r="D305" s="86" t="s">
        <v>1033</v>
      </c>
      <c r="G305" s="86" t="s">
        <v>1033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ehc</cp:lastModifiedBy>
  <dcterms:created xsi:type="dcterms:W3CDTF">2018-02-18T09:45:14Z</dcterms:created>
  <dcterms:modified xsi:type="dcterms:W3CDTF">2019-03-15T10:16:39Z</dcterms:modified>
</cp:coreProperties>
</file>